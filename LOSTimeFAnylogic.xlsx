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srahman3_miners_utep_edu/Documents/Desktop/summer 24/Paper writing/analysis/"/>
    </mc:Choice>
  </mc:AlternateContent>
  <xr:revisionPtr revIDLastSave="23" documentId="13_ncr:1_{53161B16-766D-44B4-A577-E8211E8F5DD8}" xr6:coauthVersionLast="47" xr6:coauthVersionMax="47" xr10:uidLastSave="{76C1523E-4BE1-4113-92CE-A6A95A1CE1F4}"/>
  <bookViews>
    <workbookView xWindow="-110" yWindow="-110" windowWidth="19420" windowHeight="10300" xr2:uid="{00000000-000D-0000-FFFF-FFFF00000000}"/>
  </bookViews>
  <sheets>
    <sheet name="dt" sheetId="2" r:id="rId1"/>
    <sheet name="d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I13" i="3"/>
  <c r="I3" i="3"/>
  <c r="I4" i="3"/>
  <c r="I5" i="3"/>
  <c r="I6" i="3"/>
  <c r="I7" i="3"/>
  <c r="I8" i="3"/>
  <c r="I9" i="3"/>
  <c r="I10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G3" i="3"/>
  <c r="G4" i="3"/>
  <c r="G5" i="3"/>
  <c r="G6" i="3"/>
  <c r="G7" i="3"/>
  <c r="G8" i="3"/>
  <c r="G9" i="3"/>
  <c r="G10" i="3"/>
  <c r="G11" i="3"/>
  <c r="G1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2" i="3"/>
  <c r="J314" i="3"/>
  <c r="J293" i="3"/>
  <c r="J379" i="3"/>
  <c r="J340" i="3"/>
  <c r="J291" i="3"/>
  <c r="J345" i="3"/>
  <c r="J335" i="3"/>
  <c r="J310" i="3"/>
  <c r="J385" i="3"/>
  <c r="J352" i="3"/>
  <c r="J353" i="3"/>
  <c r="J336" i="3"/>
  <c r="J329" i="3"/>
  <c r="J302" i="3"/>
  <c r="J296" i="3"/>
  <c r="J363" i="3"/>
  <c r="J331" i="3"/>
  <c r="J348" i="3"/>
  <c r="J321" i="3"/>
  <c r="J358" i="3"/>
  <c r="J350" i="3"/>
  <c r="J339" i="3"/>
  <c r="J375" i="3"/>
  <c r="J327" i="3"/>
  <c r="J356" i="3"/>
  <c r="J391" i="3"/>
  <c r="J387" i="3"/>
  <c r="J397" i="3"/>
  <c r="J271" i="3"/>
  <c r="J347" i="3"/>
  <c r="J395" i="3"/>
  <c r="J368" i="3"/>
  <c r="J355" i="3"/>
  <c r="J292" i="3"/>
  <c r="J390" i="3"/>
  <c r="J354" i="3"/>
  <c r="J318" i="3"/>
  <c r="J330" i="3"/>
  <c r="J392" i="3"/>
  <c r="J317" i="3"/>
  <c r="J372" i="3"/>
  <c r="J393" i="3"/>
  <c r="J396" i="3"/>
  <c r="J370" i="3"/>
  <c r="J359" i="3"/>
  <c r="J376" i="3"/>
  <c r="J361" i="3"/>
  <c r="J371" i="3"/>
  <c r="J364" i="3"/>
  <c r="J402" i="3"/>
  <c r="J367" i="3"/>
  <c r="J357" i="3"/>
  <c r="J399" i="3"/>
  <c r="J389" i="3"/>
  <c r="J382" i="3"/>
  <c r="J381" i="3"/>
  <c r="J320" i="3"/>
  <c r="J366" i="3"/>
  <c r="J384" i="3"/>
  <c r="J394" i="3"/>
  <c r="J400" i="3"/>
  <c r="J374" i="3"/>
  <c r="J388" i="3"/>
  <c r="J380" i="3"/>
  <c r="J401" i="3"/>
  <c r="J365" i="3"/>
  <c r="J383" i="3"/>
  <c r="J386" i="3"/>
  <c r="J398" i="3"/>
  <c r="J403" i="3"/>
  <c r="J404" i="3"/>
  <c r="J377" i="3"/>
  <c r="J373" i="3"/>
  <c r="J378" i="3"/>
  <c r="J22" i="3"/>
  <c r="J39" i="3"/>
  <c r="J46" i="3"/>
  <c r="J44" i="3"/>
  <c r="J43" i="3"/>
  <c r="J70" i="3"/>
  <c r="J54" i="3"/>
  <c r="J50" i="3"/>
  <c r="J62" i="3"/>
  <c r="J19" i="3"/>
  <c r="J32" i="3"/>
  <c r="J18" i="3"/>
  <c r="J5" i="3"/>
  <c r="J67" i="3"/>
  <c r="J40" i="3"/>
  <c r="J52" i="3"/>
  <c r="J75" i="3"/>
  <c r="J31" i="3"/>
  <c r="J11" i="3"/>
  <c r="J41" i="3"/>
  <c r="J6" i="3"/>
  <c r="J14" i="3"/>
  <c r="J2" i="3"/>
  <c r="J9" i="3"/>
  <c r="J89" i="3"/>
  <c r="J47" i="3"/>
  <c r="J56" i="3"/>
  <c r="J91" i="3"/>
  <c r="J51" i="3"/>
  <c r="J27" i="3"/>
  <c r="J3" i="3"/>
  <c r="J29" i="3"/>
  <c r="J72" i="3"/>
  <c r="J7" i="3"/>
  <c r="J63" i="3"/>
  <c r="J53" i="3"/>
  <c r="J30" i="3"/>
  <c r="J10" i="3"/>
  <c r="J64" i="3"/>
  <c r="J35" i="3"/>
  <c r="J48" i="3"/>
  <c r="J26" i="3"/>
  <c r="J65" i="3"/>
  <c r="J96" i="3"/>
  <c r="J79" i="3"/>
  <c r="J77" i="3"/>
  <c r="J4" i="3"/>
  <c r="J105" i="3"/>
  <c r="J83" i="3"/>
  <c r="J60" i="3"/>
  <c r="J24" i="3"/>
  <c r="J25" i="3"/>
  <c r="J66" i="3"/>
  <c r="J61" i="3"/>
  <c r="J85" i="3"/>
  <c r="J42" i="3"/>
  <c r="J13" i="3"/>
  <c r="J21" i="3"/>
  <c r="J99" i="3"/>
  <c r="J90" i="3"/>
  <c r="J59" i="3"/>
  <c r="J55" i="3"/>
  <c r="J57" i="3"/>
  <c r="J45" i="3"/>
  <c r="J71" i="3"/>
  <c r="J117" i="3"/>
  <c r="J36" i="3"/>
  <c r="J34" i="3"/>
  <c r="J37" i="3"/>
  <c r="J49" i="3"/>
  <c r="J17" i="3"/>
  <c r="J82" i="3"/>
  <c r="J95" i="3"/>
  <c r="J78" i="3"/>
  <c r="J112" i="3"/>
  <c r="J76" i="3"/>
  <c r="J74" i="3"/>
  <c r="J68" i="3"/>
  <c r="J38" i="3"/>
  <c r="J134" i="3"/>
  <c r="J12" i="3"/>
  <c r="J102" i="3"/>
  <c r="J20" i="3"/>
  <c r="J86" i="3"/>
  <c r="J124" i="3"/>
  <c r="J107" i="3"/>
  <c r="J98" i="3"/>
  <c r="J104" i="3"/>
  <c r="J16" i="3"/>
  <c r="J88" i="3"/>
  <c r="J80" i="3"/>
  <c r="J92" i="3"/>
  <c r="J93" i="3"/>
  <c r="J81" i="3"/>
  <c r="J116" i="3"/>
  <c r="J113" i="3"/>
  <c r="J100" i="3"/>
  <c r="J28" i="3"/>
  <c r="J110" i="3"/>
  <c r="J84" i="3"/>
  <c r="J97" i="3"/>
  <c r="J119" i="3"/>
  <c r="J147" i="3"/>
  <c r="J94" i="3"/>
  <c r="J141" i="3"/>
  <c r="J106" i="3"/>
  <c r="J109" i="3"/>
  <c r="J101" i="3"/>
  <c r="J111" i="3"/>
  <c r="J132" i="3"/>
  <c r="J87" i="3"/>
  <c r="J140" i="3"/>
  <c r="J58" i="3"/>
  <c r="J73" i="3"/>
  <c r="J131" i="3"/>
  <c r="J173" i="3"/>
  <c r="J125" i="3"/>
  <c r="J69" i="3"/>
  <c r="J155" i="3"/>
  <c r="J128" i="3"/>
  <c r="J169" i="3"/>
  <c r="J175" i="3"/>
  <c r="J126" i="3"/>
  <c r="J15" i="3"/>
  <c r="J170" i="3"/>
  <c r="J118" i="3"/>
  <c r="J166" i="3"/>
  <c r="J122" i="3"/>
  <c r="J150" i="3"/>
  <c r="J172" i="3"/>
  <c r="J135" i="3"/>
  <c r="J143" i="3"/>
  <c r="J145" i="3"/>
  <c r="J33" i="3"/>
  <c r="J129" i="3"/>
  <c r="J152" i="3"/>
  <c r="J196" i="3"/>
  <c r="J197" i="3"/>
  <c r="J138" i="3"/>
  <c r="J114" i="3"/>
  <c r="J115" i="3"/>
  <c r="J136" i="3"/>
  <c r="J23" i="3"/>
  <c r="J163" i="3"/>
  <c r="J151" i="3"/>
  <c r="J187" i="3"/>
  <c r="J198" i="3"/>
  <c r="J142" i="3"/>
  <c r="J158" i="3"/>
  <c r="J161" i="3"/>
  <c r="J159" i="3"/>
  <c r="J103" i="3"/>
  <c r="J137" i="3"/>
  <c r="J148" i="3"/>
  <c r="J144" i="3"/>
  <c r="J121" i="3"/>
  <c r="J205" i="3"/>
  <c r="J174" i="3"/>
  <c r="J194" i="3"/>
  <c r="J165" i="3"/>
  <c r="J168" i="3"/>
  <c r="J108" i="3"/>
  <c r="J153" i="3"/>
  <c r="J162" i="3"/>
  <c r="J164" i="3"/>
  <c r="J120" i="3"/>
  <c r="J139" i="3"/>
  <c r="J179" i="3"/>
  <c r="J180" i="3"/>
  <c r="J203" i="3"/>
  <c r="J133" i="3"/>
  <c r="J214" i="3"/>
  <c r="J123" i="3"/>
  <c r="J231" i="3"/>
  <c r="J201" i="3"/>
  <c r="J171" i="3"/>
  <c r="J181" i="3"/>
  <c r="J210" i="3"/>
  <c r="J212" i="3"/>
  <c r="J154" i="3"/>
  <c r="J184" i="3"/>
  <c r="J211" i="3"/>
  <c r="J228" i="3"/>
  <c r="J237" i="3"/>
  <c r="J127" i="3"/>
  <c r="J207" i="3"/>
  <c r="J160" i="3"/>
  <c r="J190" i="3"/>
  <c r="J156" i="3"/>
  <c r="J219" i="3"/>
  <c r="J183" i="3"/>
  <c r="J199" i="3"/>
  <c r="J157" i="3"/>
  <c r="J149" i="3"/>
  <c r="J232" i="3"/>
  <c r="J188" i="3"/>
  <c r="J245" i="3"/>
  <c r="J186" i="3"/>
  <c r="J146" i="3"/>
  <c r="J167" i="3"/>
  <c r="J130" i="3"/>
  <c r="J258" i="3"/>
  <c r="J195" i="3"/>
  <c r="J235" i="3"/>
  <c r="J206" i="3"/>
  <c r="J189" i="3"/>
  <c r="J191" i="3"/>
  <c r="J253" i="3"/>
  <c r="J204" i="3"/>
  <c r="J182" i="3"/>
  <c r="J178" i="3"/>
  <c r="J185" i="3"/>
  <c r="J238" i="3"/>
  <c r="J221" i="3"/>
  <c r="J250" i="3"/>
  <c r="J236" i="3"/>
  <c r="J223" i="3"/>
  <c r="J243" i="3"/>
  <c r="J240" i="3"/>
  <c r="J247" i="3"/>
  <c r="J215" i="3"/>
  <c r="J224" i="3"/>
  <c r="J218" i="3"/>
  <c r="J202" i="3"/>
  <c r="J225" i="3"/>
  <c r="J277" i="3"/>
  <c r="J246" i="3"/>
  <c r="J192" i="3"/>
  <c r="J213" i="3"/>
  <c r="J208" i="3"/>
  <c r="J200" i="3"/>
  <c r="J242" i="3"/>
  <c r="J216" i="3"/>
  <c r="J220" i="3"/>
  <c r="J217" i="3"/>
  <c r="J177" i="3"/>
  <c r="J256" i="3"/>
  <c r="J227" i="3"/>
  <c r="J176" i="3"/>
  <c r="J239" i="3"/>
  <c r="J252" i="3"/>
  <c r="J209" i="3"/>
  <c r="J280" i="3"/>
  <c r="J281" i="3"/>
  <c r="J265" i="3"/>
  <c r="J226" i="3"/>
  <c r="J284" i="3"/>
  <c r="J230" i="3"/>
  <c r="J268" i="3"/>
  <c r="J241" i="3"/>
  <c r="J233" i="3"/>
  <c r="J244" i="3"/>
  <c r="J276" i="3"/>
  <c r="J259" i="3"/>
  <c r="J295" i="3"/>
  <c r="J301" i="3"/>
  <c r="J229" i="3"/>
  <c r="J261" i="3"/>
  <c r="J257" i="3"/>
  <c r="J234" i="3"/>
  <c r="J193" i="3"/>
  <c r="J305" i="3"/>
  <c r="J267" i="3"/>
  <c r="J279" i="3"/>
  <c r="J298" i="3"/>
  <c r="J251" i="3"/>
  <c r="J254" i="3"/>
  <c r="J287" i="3"/>
  <c r="J288" i="3"/>
  <c r="J274" i="3"/>
  <c r="J270" i="3"/>
  <c r="J266" i="3"/>
  <c r="J269" i="3"/>
  <c r="J255" i="3"/>
  <c r="J260" i="3"/>
  <c r="J304" i="3"/>
  <c r="J303" i="3"/>
  <c r="J275" i="3"/>
  <c r="J311" i="3"/>
  <c r="J306" i="3"/>
  <c r="J263" i="3"/>
  <c r="J273" i="3"/>
  <c r="J278" i="3"/>
  <c r="J264" i="3"/>
  <c r="J322" i="3"/>
  <c r="J309" i="3"/>
  <c r="J283" i="3"/>
  <c r="J307" i="3"/>
  <c r="J344" i="3"/>
  <c r="J272" i="3"/>
  <c r="J262" i="3"/>
  <c r="J346" i="3"/>
  <c r="J294" i="3"/>
  <c r="J285" i="3"/>
  <c r="J324" i="3"/>
  <c r="J248" i="3"/>
  <c r="J337" i="3"/>
  <c r="J249" i="3"/>
  <c r="J333" i="3"/>
  <c r="J299" i="3"/>
  <c r="J286" i="3"/>
  <c r="J342" i="3"/>
  <c r="J319" i="3"/>
  <c r="J222" i="3"/>
  <c r="J343" i="3"/>
  <c r="J351" i="3"/>
  <c r="J312" i="3"/>
  <c r="J297" i="3"/>
  <c r="J316" i="3"/>
  <c r="J289" i="3"/>
  <c r="J290" i="3"/>
  <c r="J325" i="3"/>
  <c r="J282" i="3"/>
  <c r="J334" i="3"/>
  <c r="J349" i="3"/>
  <c r="J362" i="3"/>
  <c r="J338" i="3"/>
  <c r="J341" i="3"/>
  <c r="J313" i="3"/>
  <c r="J300" i="3"/>
  <c r="J369" i="3"/>
  <c r="J308" i="3"/>
  <c r="J360" i="3"/>
  <c r="J332" i="3"/>
  <c r="J315" i="3"/>
  <c r="J326" i="3"/>
  <c r="J323" i="3"/>
  <c r="J328" i="3"/>
  <c r="J8" i="3"/>
  <c r="H2" i="3"/>
  <c r="I406" i="3" l="1"/>
</calcChain>
</file>

<file path=xl/sharedStrings.xml><?xml version="1.0" encoding="utf-8"?>
<sst xmlns="http://schemas.openxmlformats.org/spreadsheetml/2006/main" count="41" uniqueCount="35">
  <si>
    <t>delayTime</t>
  </si>
  <si>
    <t>ID</t>
  </si>
  <si>
    <t>Hematocrit</t>
  </si>
  <si>
    <t>Neutrofils</t>
  </si>
  <si>
    <t>Sodium</t>
  </si>
  <si>
    <t>glucose</t>
  </si>
  <si>
    <t>BloodUreanitro</t>
  </si>
  <si>
    <t>creatinine</t>
  </si>
  <si>
    <t>BMI</t>
  </si>
  <si>
    <t>Pulse</t>
  </si>
  <si>
    <t>respiration</t>
  </si>
  <si>
    <t>DRRtge</t>
  </si>
  <si>
    <t>Asthma</t>
  </si>
  <si>
    <t>Irondef</t>
  </si>
  <si>
    <t>Pneum</t>
  </si>
  <si>
    <t>substanceD</t>
  </si>
  <si>
    <t>PsychDOrd</t>
  </si>
  <si>
    <t>Depress</t>
  </si>
  <si>
    <t>Psychother</t>
  </si>
  <si>
    <t>Fibersis</t>
  </si>
  <si>
    <t>malnutri</t>
  </si>
  <si>
    <t>hemo</t>
  </si>
  <si>
    <t>secondryd</t>
  </si>
  <si>
    <t>rcount</t>
  </si>
  <si>
    <t>gender</t>
  </si>
  <si>
    <t>En Time</t>
  </si>
  <si>
    <t>Exit Time (Hrs)</t>
  </si>
  <si>
    <t>LOS (Day)</t>
  </si>
  <si>
    <t>Entme</t>
  </si>
  <si>
    <t>LOS</t>
  </si>
  <si>
    <t>ExTme</t>
  </si>
  <si>
    <t>LOS IN Hospital(Hrs)</t>
  </si>
  <si>
    <t>LOS in BED (Hrs)</t>
  </si>
  <si>
    <t>EntmAtQueStrt</t>
  </si>
  <si>
    <t>Waiting Time (Hrs ) for getting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</si>
</sst>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LOS(in bed) vs WT(To Get bed)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dst!$H$1</c:f>
              <c:strCache>
                <c:ptCount val="1"/>
                <c:pt idx="0">
                  <c:v>LOS in BED (Hrs)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dst!$J$60:$J$100</c:f>
              <c:numCache>
                <c:formatCode>General</c:formatCode>
                <c:ptCount val="41"/>
                <c:pt idx="0">
                  <c:v>60</c:v>
                </c:pt>
                <c:pt idx="1">
                  <c:v>61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72</c:v>
                </c:pt>
                <c:pt idx="14">
                  <c:v>73</c:v>
                </c:pt>
                <c:pt idx="15">
                  <c:v>74</c:v>
                </c:pt>
                <c:pt idx="16">
                  <c:v>75</c:v>
                </c:pt>
                <c:pt idx="17">
                  <c:v>76</c:v>
                </c:pt>
                <c:pt idx="18">
                  <c:v>77</c:v>
                </c:pt>
                <c:pt idx="19">
                  <c:v>78</c:v>
                </c:pt>
                <c:pt idx="20">
                  <c:v>78</c:v>
                </c:pt>
                <c:pt idx="21">
                  <c:v>79</c:v>
                </c:pt>
                <c:pt idx="22">
                  <c:v>80</c:v>
                </c:pt>
                <c:pt idx="23">
                  <c:v>81</c:v>
                </c:pt>
                <c:pt idx="24">
                  <c:v>82</c:v>
                </c:pt>
                <c:pt idx="25">
                  <c:v>83</c:v>
                </c:pt>
                <c:pt idx="26">
                  <c:v>84</c:v>
                </c:pt>
                <c:pt idx="27">
                  <c:v>84</c:v>
                </c:pt>
                <c:pt idx="28">
                  <c:v>85</c:v>
                </c:pt>
                <c:pt idx="29">
                  <c:v>86</c:v>
                </c:pt>
                <c:pt idx="30">
                  <c:v>87</c:v>
                </c:pt>
                <c:pt idx="31">
                  <c:v>88</c:v>
                </c:pt>
                <c:pt idx="32">
                  <c:v>88</c:v>
                </c:pt>
                <c:pt idx="33">
                  <c:v>91</c:v>
                </c:pt>
                <c:pt idx="34">
                  <c:v>92</c:v>
                </c:pt>
                <c:pt idx="35">
                  <c:v>93</c:v>
                </c:pt>
                <c:pt idx="36">
                  <c:v>94</c:v>
                </c:pt>
                <c:pt idx="37">
                  <c:v>94</c:v>
                </c:pt>
                <c:pt idx="38">
                  <c:v>95</c:v>
                </c:pt>
                <c:pt idx="39">
                  <c:v>96</c:v>
                </c:pt>
                <c:pt idx="40">
                  <c:v>97</c:v>
                </c:pt>
              </c:numCache>
            </c:numRef>
          </c:cat>
          <c:val>
            <c:numRef>
              <c:f>dst!$H$60:$H$100</c:f>
              <c:numCache>
                <c:formatCode>General</c:formatCode>
                <c:ptCount val="41"/>
                <c:pt idx="0">
                  <c:v>102.55356</c:v>
                </c:pt>
                <c:pt idx="1">
                  <c:v>105.051552</c:v>
                </c:pt>
                <c:pt idx="2">
                  <c:v>30.157120799999998</c:v>
                </c:pt>
                <c:pt idx="3">
                  <c:v>75.470303999999999</c:v>
                </c:pt>
                <c:pt idx="4">
                  <c:v>83.124676800000003</c:v>
                </c:pt>
                <c:pt idx="5">
                  <c:v>92.278507200000007</c:v>
                </c:pt>
                <c:pt idx="6">
                  <c:v>103.67229599999999</c:v>
                </c:pt>
                <c:pt idx="7">
                  <c:v>40.504051199999999</c:v>
                </c:pt>
                <c:pt idx="8">
                  <c:v>133.77119039999999</c:v>
                </c:pt>
                <c:pt idx="9">
                  <c:v>195.906768</c:v>
                </c:pt>
                <c:pt idx="10">
                  <c:v>23.098766400000002</c:v>
                </c:pt>
                <c:pt idx="11">
                  <c:v>103.44468000000001</c:v>
                </c:pt>
                <c:pt idx="12">
                  <c:v>73.337287199999992</c:v>
                </c:pt>
                <c:pt idx="13">
                  <c:v>192.90026399999999</c:v>
                </c:pt>
                <c:pt idx="14">
                  <c:v>119.47617600000001</c:v>
                </c:pt>
                <c:pt idx="15">
                  <c:v>24.474391199999992</c:v>
                </c:pt>
                <c:pt idx="16">
                  <c:v>112.52294400000001</c:v>
                </c:pt>
                <c:pt idx="17">
                  <c:v>77.882887199999999</c:v>
                </c:pt>
                <c:pt idx="18">
                  <c:v>109.29547199999999</c:v>
                </c:pt>
                <c:pt idx="19">
                  <c:v>70.495248000000004</c:v>
                </c:pt>
                <c:pt idx="20">
                  <c:v>108.74121600000001</c:v>
                </c:pt>
                <c:pt idx="21">
                  <c:v>111.58971360000001</c:v>
                </c:pt>
                <c:pt idx="22">
                  <c:v>97.889671200000009</c:v>
                </c:pt>
                <c:pt idx="23">
                  <c:v>72.145814400000006</c:v>
                </c:pt>
                <c:pt idx="24">
                  <c:v>117.53600639999999</c:v>
                </c:pt>
                <c:pt idx="25">
                  <c:v>68.968363199999999</c:v>
                </c:pt>
                <c:pt idx="26">
                  <c:v>100.71973920000001</c:v>
                </c:pt>
                <c:pt idx="27">
                  <c:v>139.89470399999999</c:v>
                </c:pt>
                <c:pt idx="28">
                  <c:v>106.82364000000001</c:v>
                </c:pt>
                <c:pt idx="29">
                  <c:v>21.560815199999997</c:v>
                </c:pt>
                <c:pt idx="30">
                  <c:v>65.889638399999995</c:v>
                </c:pt>
                <c:pt idx="31">
                  <c:v>23.815987200000002</c:v>
                </c:pt>
                <c:pt idx="32">
                  <c:v>95.155682399999989</c:v>
                </c:pt>
                <c:pt idx="33">
                  <c:v>88.503984000000003</c:v>
                </c:pt>
                <c:pt idx="34">
                  <c:v>114.3687504</c:v>
                </c:pt>
                <c:pt idx="35">
                  <c:v>71.133916799999994</c:v>
                </c:pt>
                <c:pt idx="36">
                  <c:v>36.536078400000001</c:v>
                </c:pt>
                <c:pt idx="37">
                  <c:v>102.9797856</c:v>
                </c:pt>
                <c:pt idx="38">
                  <c:v>87.6693432</c:v>
                </c:pt>
                <c:pt idx="39">
                  <c:v>49.064049600000004</c:v>
                </c:pt>
                <c:pt idx="40">
                  <c:v>84.688929599999994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0-4D49-8332-9C54FD9435BC}"/>
            </c:ext>
          </c:extLst>
        </c:ser>
        <c:ser>
          <c:idx val="1"/>
          <c:order val="1"/>
          <c:tx>
            <c:strRef>
              <c:f>dst!$I$1</c:f>
              <c:strCache>
                <c:ptCount val="1"/>
                <c:pt idx="0">
                  <c:v>Waiting Time (Hrs ) for getting BED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dst!$J$60:$J$100</c:f>
              <c:numCache>
                <c:formatCode>General</c:formatCode>
                <c:ptCount val="41"/>
                <c:pt idx="0">
                  <c:v>60</c:v>
                </c:pt>
                <c:pt idx="1">
                  <c:v>61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72</c:v>
                </c:pt>
                <c:pt idx="14">
                  <c:v>73</c:v>
                </c:pt>
                <c:pt idx="15">
                  <c:v>74</c:v>
                </c:pt>
                <c:pt idx="16">
                  <c:v>75</c:v>
                </c:pt>
                <c:pt idx="17">
                  <c:v>76</c:v>
                </c:pt>
                <c:pt idx="18">
                  <c:v>77</c:v>
                </c:pt>
                <c:pt idx="19">
                  <c:v>78</c:v>
                </c:pt>
                <c:pt idx="20">
                  <c:v>78</c:v>
                </c:pt>
                <c:pt idx="21">
                  <c:v>79</c:v>
                </c:pt>
                <c:pt idx="22">
                  <c:v>80</c:v>
                </c:pt>
                <c:pt idx="23">
                  <c:v>81</c:v>
                </c:pt>
                <c:pt idx="24">
                  <c:v>82</c:v>
                </c:pt>
                <c:pt idx="25">
                  <c:v>83</c:v>
                </c:pt>
                <c:pt idx="26">
                  <c:v>84</c:v>
                </c:pt>
                <c:pt idx="27">
                  <c:v>84</c:v>
                </c:pt>
                <c:pt idx="28">
                  <c:v>85</c:v>
                </c:pt>
                <c:pt idx="29">
                  <c:v>86</c:v>
                </c:pt>
                <c:pt idx="30">
                  <c:v>87</c:v>
                </c:pt>
                <c:pt idx="31">
                  <c:v>88</c:v>
                </c:pt>
                <c:pt idx="32">
                  <c:v>88</c:v>
                </c:pt>
                <c:pt idx="33">
                  <c:v>91</c:v>
                </c:pt>
                <c:pt idx="34">
                  <c:v>92</c:v>
                </c:pt>
                <c:pt idx="35">
                  <c:v>93</c:v>
                </c:pt>
                <c:pt idx="36">
                  <c:v>94</c:v>
                </c:pt>
                <c:pt idx="37">
                  <c:v>94</c:v>
                </c:pt>
                <c:pt idx="38">
                  <c:v>95</c:v>
                </c:pt>
                <c:pt idx="39">
                  <c:v>96</c:v>
                </c:pt>
                <c:pt idx="40">
                  <c:v>97</c:v>
                </c:pt>
              </c:numCache>
            </c:numRef>
          </c:cat>
          <c:val>
            <c:numRef>
              <c:f>dst!$I$60:$I$100</c:f>
              <c:numCache>
                <c:formatCode>0.00</c:formatCode>
                <c:ptCount val="41"/>
                <c:pt idx="0">
                  <c:v>5.1245086913809246E-4</c:v>
                </c:pt>
                <c:pt idx="1">
                  <c:v>6.5055026416871442E-4</c:v>
                </c:pt>
                <c:pt idx="2">
                  <c:v>5.3523999435967085E-4</c:v>
                </c:pt>
                <c:pt idx="3">
                  <c:v>6.3180464798051617E-4</c:v>
                </c:pt>
                <c:pt idx="4">
                  <c:v>6.7099262278702554E-4</c:v>
                </c:pt>
                <c:pt idx="5">
                  <c:v>7.8020781444365639E-4</c:v>
                </c:pt>
                <c:pt idx="6">
                  <c:v>6.2505768745779733E-4</c:v>
                </c:pt>
                <c:pt idx="7">
                  <c:v>6.8943428342294055E-4</c:v>
                </c:pt>
                <c:pt idx="8">
                  <c:v>6.1361099747614389E-4</c:v>
                </c:pt>
                <c:pt idx="9">
                  <c:v>5.8222622797643453E-4</c:v>
                </c:pt>
                <c:pt idx="10">
                  <c:v>5.479253174023313E-4</c:v>
                </c:pt>
                <c:pt idx="11">
                  <c:v>8.822257137944348</c:v>
                </c:pt>
                <c:pt idx="12">
                  <c:v>5.5048736260232545E-4</c:v>
                </c:pt>
                <c:pt idx="13">
                  <c:v>4.360682571302732E-4</c:v>
                </c:pt>
                <c:pt idx="14">
                  <c:v>12.867752154336159</c:v>
                </c:pt>
                <c:pt idx="15">
                  <c:v>12.799535669827954</c:v>
                </c:pt>
                <c:pt idx="16">
                  <c:v>12.2702988669365</c:v>
                </c:pt>
                <c:pt idx="17">
                  <c:v>11.497971637688977</c:v>
                </c:pt>
                <c:pt idx="18">
                  <c:v>11.462065589071017</c:v>
                </c:pt>
                <c:pt idx="19">
                  <c:v>10.23118252583042</c:v>
                </c:pt>
                <c:pt idx="20">
                  <c:v>30.219512475798126</c:v>
                </c:pt>
                <c:pt idx="21">
                  <c:v>18.774467988349187</c:v>
                </c:pt>
                <c:pt idx="22">
                  <c:v>7.8394840283235681</c:v>
                </c:pt>
                <c:pt idx="23">
                  <c:v>10.358826752062811</c:v>
                </c:pt>
                <c:pt idx="24">
                  <c:v>4.7325436930203466</c:v>
                </c:pt>
                <c:pt idx="25">
                  <c:v>13.071570049027372</c:v>
                </c:pt>
                <c:pt idx="26">
                  <c:v>13.248016122334676</c:v>
                </c:pt>
                <c:pt idx="27">
                  <c:v>7.5378641074632071</c:v>
                </c:pt>
                <c:pt idx="28">
                  <c:v>11.64745527344067</c:v>
                </c:pt>
                <c:pt idx="29">
                  <c:v>10.347629954220796</c:v>
                </c:pt>
                <c:pt idx="30">
                  <c:v>9.0901572065621679</c:v>
                </c:pt>
                <c:pt idx="31">
                  <c:v>6.3783167030911301</c:v>
                </c:pt>
                <c:pt idx="32">
                  <c:v>7.6201751810000076</c:v>
                </c:pt>
                <c:pt idx="33">
                  <c:v>10.435998786755817</c:v>
                </c:pt>
                <c:pt idx="34">
                  <c:v>8.7089872496775769</c:v>
                </c:pt>
                <c:pt idx="35">
                  <c:v>11.674877589270281</c:v>
                </c:pt>
                <c:pt idx="36">
                  <c:v>11.732425982506435</c:v>
                </c:pt>
                <c:pt idx="37">
                  <c:v>9.6903114561874588</c:v>
                </c:pt>
                <c:pt idx="38">
                  <c:v>8.1768164764365139</c:v>
                </c:pt>
                <c:pt idx="39">
                  <c:v>6.4305460035367332</c:v>
                </c:pt>
                <c:pt idx="40">
                  <c:v>9.3417720811661127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0-4D49-8332-9C54FD9435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5713647"/>
        <c:axId val="1505714127"/>
      </c:barChart>
      <c:catAx>
        <c:axId val="1505713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ID</a:t>
                </a:r>
              </a:p>
            </c:rich>
          </c:tx>
          <c:layout>
            <c:manualLayout>
              <c:xMode val="edge"/>
              <c:yMode val="edge"/>
              <c:x val="0.4413945756780403"/>
              <c:y val="0.89314741907261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5714127"/>
        <c:crosses val="autoZero"/>
        <c:auto val="1"/>
        <c:lblAlgn val="ctr"/>
        <c:lblOffset val="100"/>
        <c:noMultiLvlLbl val="0"/>
      </c:catAx>
      <c:valAx>
        <c:axId val="15057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057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244474</xdr:colOff>
      <xdr:row>1</xdr:row>
      <xdr:rowOff>6350</xdr:rowOff>
    </xdr:from>
    <xdr:to>
      <xdr:col>22</xdr:col>
      <xdr:colOff>520700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706B0D-859B-BD3C-8AE1-9C8C0E42C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3C60-25CA-4E89-9564-052C7C524C3F}">
  <dimension ref="A1:FW404"/>
  <sheetViews>
    <sheetView tabSelected="1" topLeftCell="B1" zoomScale="66" zoomScaleNormal="66" workbookViewId="0">
      <selection activeCell="Q15" sqref="Q15"/>
    </sheetView>
  </sheetViews>
  <sheetFormatPr defaultRowHeight="14.5" x14ac:dyDescent="0.35"/>
  <cols>
    <col min="2" max="2" width="6.7265625" customWidth="1" collapsed="1"/>
    <col min="3" max="3" width="11.81640625" bestFit="1" customWidth="1" collapsed="1"/>
    <col min="4" max="4" width="10.08984375" bestFit="1" customWidth="1" collapsed="1"/>
    <col min="8" max="8" width="13.7265625" bestFit="1" customWidth="1" collapsed="1"/>
    <col min="9" max="9" width="9.08984375" bestFit="1" customWidth="1" collapsed="1"/>
    <col min="17" max="17" width="10.453125" bestFit="1" customWidth="1" collapsed="1"/>
    <col min="18" max="18" width="9.90625" bestFit="1" customWidth="1" collapsed="1"/>
    <col min="20" max="20" width="10" bestFit="1" customWidth="1" collapsed="1"/>
    <col min="27" max="27" width="10" bestFit="1" customWidth="1" collapsed="1"/>
    <col min="28" max="28" width="14.54296875" bestFit="1" customWidth="1" collapsed="1"/>
  </cols>
  <sheetData>
    <row r="1" spans="1:96" x14ac:dyDescent="0.35">
      <c r="A1" s="1"/>
      <c r="B1" s="4" t="s">
        <v>1</v>
      </c>
      <c r="C1" s="4" t="s">
        <v>25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27</v>
      </c>
      <c r="AB1" s="4" t="s">
        <v>26</v>
      </c>
      <c r="CR1" t="s">
        <v>0</v>
      </c>
    </row>
    <row r="2" spans="1:96" x14ac:dyDescent="0.35">
      <c r="B2" s="5">
        <v>8</v>
      </c>
      <c r="C2" s="5">
        <v>2.0007993441807033</v>
      </c>
      <c r="D2" s="5">
        <v>12.321796524187731</v>
      </c>
      <c r="E2" s="5">
        <v>8.174040315640438</v>
      </c>
      <c r="F2" s="5">
        <v>136.44624249283541</v>
      </c>
      <c r="G2" s="5">
        <v>125.2413276374154</v>
      </c>
      <c r="H2" s="5">
        <v>31.417691337430675</v>
      </c>
      <c r="I2" s="5">
        <v>1.2839719636148907</v>
      </c>
      <c r="J2" s="5">
        <v>28.635289239029344</v>
      </c>
      <c r="K2" s="5">
        <v>77.563279296354054</v>
      </c>
      <c r="L2" s="5">
        <v>6.0791933909800981</v>
      </c>
      <c r="M2" s="5" t="b">
        <v>0</v>
      </c>
      <c r="N2" s="5" t="b">
        <v>0</v>
      </c>
      <c r="O2" s="5" t="b">
        <v>0</v>
      </c>
      <c r="P2" s="5" t="b">
        <v>0</v>
      </c>
      <c r="Q2" s="5" t="b">
        <v>0</v>
      </c>
      <c r="R2" s="5" t="b">
        <v>0</v>
      </c>
      <c r="S2" s="5" t="b">
        <v>0</v>
      </c>
      <c r="T2" s="5" t="b">
        <v>0</v>
      </c>
      <c r="U2" s="5" t="b">
        <v>0</v>
      </c>
      <c r="V2" s="5" t="b">
        <v>0</v>
      </c>
      <c r="W2" s="5" t="b">
        <v>0</v>
      </c>
      <c r="X2" s="5">
        <v>2</v>
      </c>
      <c r="Y2" s="5">
        <v>0</v>
      </c>
      <c r="Z2" s="5" t="b">
        <v>0</v>
      </c>
      <c r="AA2" s="5">
        <v>0.99263619999999997</v>
      </c>
      <c r="AB2" s="5">
        <v>25.824068144180703</v>
      </c>
    </row>
    <row r="3" spans="1:96" x14ac:dyDescent="0.35">
      <c r="B3" s="5">
        <v>23</v>
      </c>
      <c r="C3" s="5">
        <v>6.0018805304477034</v>
      </c>
      <c r="D3" s="5">
        <v>11.57475258598682</v>
      </c>
      <c r="E3" s="5">
        <v>4.5551972852423956</v>
      </c>
      <c r="F3" s="5">
        <v>139.9522981282384</v>
      </c>
      <c r="G3" s="5">
        <v>106.55086583728445</v>
      </c>
      <c r="H3" s="5">
        <v>2.073223845703005</v>
      </c>
      <c r="I3" s="5">
        <v>1.1308845079166883</v>
      </c>
      <c r="J3" s="5">
        <v>30.831793970685808</v>
      </c>
      <c r="K3" s="5">
        <v>91.405282369260163</v>
      </c>
      <c r="L3" s="5">
        <v>6.4993782074068003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>
        <v>3</v>
      </c>
      <c r="Y3" s="5">
        <v>0</v>
      </c>
      <c r="Z3" s="5" t="b">
        <v>0</v>
      </c>
      <c r="AA3" s="5">
        <v>0.99449220000000005</v>
      </c>
      <c r="AB3" s="5">
        <v>29.869693330447703</v>
      </c>
    </row>
    <row r="4" spans="1:96" x14ac:dyDescent="0.35">
      <c r="B4" s="5">
        <v>38</v>
      </c>
      <c r="C4" s="5">
        <v>12.00200283768897</v>
      </c>
      <c r="D4" s="5">
        <v>12.507194443049434</v>
      </c>
      <c r="E4" s="5">
        <v>7.4293393775612309</v>
      </c>
      <c r="F4" s="5">
        <v>142.34143910610047</v>
      </c>
      <c r="G4" s="5">
        <v>156.48865679877761</v>
      </c>
      <c r="H4" s="5">
        <v>3.0195415511131749</v>
      </c>
      <c r="I4" s="5">
        <v>1.1079089713112671</v>
      </c>
      <c r="J4" s="5">
        <v>30.109693749010006</v>
      </c>
      <c r="K4" s="5">
        <v>84.334622509881441</v>
      </c>
      <c r="L4" s="5">
        <v>6.2353605929457476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5" t="b">
        <v>0</v>
      </c>
      <c r="X4" s="5">
        <v>4</v>
      </c>
      <c r="Y4" s="5">
        <v>0</v>
      </c>
      <c r="Z4" s="5" t="b">
        <v>1</v>
      </c>
      <c r="AA4" s="5">
        <v>0.9789987</v>
      </c>
      <c r="AB4" s="5">
        <v>35.49797163768897</v>
      </c>
    </row>
    <row r="5" spans="1:96" x14ac:dyDescent="0.35">
      <c r="B5" s="5">
        <v>45</v>
      </c>
      <c r="C5" s="5">
        <v>12.002686866936509</v>
      </c>
      <c r="D5" s="5">
        <v>12.912772201991078</v>
      </c>
      <c r="E5" s="5">
        <v>13.965997724211945</v>
      </c>
      <c r="F5" s="5">
        <v>136.00784964668733</v>
      </c>
      <c r="G5" s="5">
        <v>152.09226515233277</v>
      </c>
      <c r="H5" s="5">
        <v>2.8334255969469719</v>
      </c>
      <c r="I5" s="5">
        <v>1.1806016804330213</v>
      </c>
      <c r="J5" s="5">
        <v>30.780122145507796</v>
      </c>
      <c r="K5" s="5">
        <v>65.887176023788456</v>
      </c>
      <c r="L5" s="5">
        <v>6.284188586343693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5" t="b">
        <v>0</v>
      </c>
      <c r="X5" s="5">
        <v>2</v>
      </c>
      <c r="Y5" s="5">
        <v>0</v>
      </c>
      <c r="Z5" s="5" t="b">
        <v>1</v>
      </c>
      <c r="AA5" s="5">
        <v>1.0111505000000003</v>
      </c>
      <c r="AB5" s="5">
        <v>36.270298866936507</v>
      </c>
    </row>
    <row r="6" spans="1:96" x14ac:dyDescent="0.35">
      <c r="B6" s="5">
        <v>43</v>
      </c>
      <c r="C6" s="5">
        <v>12.00260606982795</v>
      </c>
      <c r="D6" s="5">
        <v>11.689122900872224</v>
      </c>
      <c r="E6" s="5">
        <v>23.052747772986176</v>
      </c>
      <c r="F6" s="5">
        <v>137.02005540226261</v>
      </c>
      <c r="G6" s="5">
        <v>146.96895503029626</v>
      </c>
      <c r="H6" s="5">
        <v>21.615677321287336</v>
      </c>
      <c r="I6" s="5">
        <v>1.3100177298003519</v>
      </c>
      <c r="J6" s="5">
        <v>29.306273390910732</v>
      </c>
      <c r="K6" s="5">
        <v>82.125521578262919</v>
      </c>
      <c r="L6" s="5">
        <v>6.9938278161745187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5" t="b">
        <v>0</v>
      </c>
      <c r="X6" s="5">
        <v>1</v>
      </c>
      <c r="Y6" s="5">
        <v>0</v>
      </c>
      <c r="Z6" s="5" t="b">
        <v>0</v>
      </c>
      <c r="AA6" s="5">
        <v>1.0332053999999999</v>
      </c>
      <c r="AB6" s="5">
        <v>36.799535669827947</v>
      </c>
    </row>
    <row r="7" spans="1:96" x14ac:dyDescent="0.35">
      <c r="B7" s="5">
        <v>42</v>
      </c>
      <c r="C7" s="5">
        <v>12.002133733251707</v>
      </c>
      <c r="D7" s="5">
        <v>11.896243672800466</v>
      </c>
      <c r="E7" s="5">
        <v>11.110868933466591</v>
      </c>
      <c r="F7" s="5">
        <v>136.88454603574036</v>
      </c>
      <c r="G7" s="5">
        <v>151.5680122086934</v>
      </c>
      <c r="H7" s="5">
        <v>12.272368302850396</v>
      </c>
      <c r="I7" s="5">
        <v>1.06777754655853</v>
      </c>
      <c r="J7" s="5">
        <v>32.267505468314127</v>
      </c>
      <c r="K7" s="5">
        <v>78.366429308062067</v>
      </c>
      <c r="L7" s="5">
        <v>6.926472462191759</v>
      </c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5" t="b">
        <v>0</v>
      </c>
      <c r="V7" s="5" t="b">
        <v>0</v>
      </c>
      <c r="W7" s="5" t="b">
        <v>0</v>
      </c>
      <c r="X7" s="5">
        <v>1</v>
      </c>
      <c r="Y7" s="5">
        <v>0</v>
      </c>
      <c r="Z7" s="5" t="b">
        <v>0</v>
      </c>
      <c r="AA7" s="5">
        <v>1.0535000000000001</v>
      </c>
      <c r="AB7" s="5">
        <v>37.28613373325171</v>
      </c>
    </row>
    <row r="8" spans="1:96" x14ac:dyDescent="0.35">
      <c r="B8" s="5">
        <v>70</v>
      </c>
      <c r="C8" s="5">
        <v>17.00210945627812</v>
      </c>
      <c r="D8" s="5">
        <v>11.544173726736386</v>
      </c>
      <c r="E8" s="5">
        <v>5.7945356142877653</v>
      </c>
      <c r="F8" s="5">
        <v>137.0350127859397</v>
      </c>
      <c r="G8" s="5">
        <v>131.24029372381563</v>
      </c>
      <c r="H8" s="5">
        <v>24.96208610711804</v>
      </c>
      <c r="I8" s="5">
        <v>1.0274230246498264</v>
      </c>
      <c r="J8" s="5">
        <v>29.241236087901331</v>
      </c>
      <c r="K8" s="5">
        <v>65.131314482309548</v>
      </c>
      <c r="L8" s="5">
        <v>6.3192722831614008</v>
      </c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5" t="b">
        <v>0</v>
      </c>
      <c r="X8" s="5">
        <v>1</v>
      </c>
      <c r="Y8" s="5">
        <v>0</v>
      </c>
      <c r="Z8" s="5" t="b">
        <v>1</v>
      </c>
      <c r="AA8" s="5">
        <v>0.9624486000000001</v>
      </c>
      <c r="AB8" s="5">
        <v>40.100875856278122</v>
      </c>
    </row>
    <row r="9" spans="1:96" x14ac:dyDescent="0.35">
      <c r="B9" s="5">
        <v>54</v>
      </c>
      <c r="C9" s="5">
        <v>17.000380248157722</v>
      </c>
      <c r="D9" s="5">
        <v>13.492444676965674</v>
      </c>
      <c r="E9" s="5">
        <v>11.124581605549796</v>
      </c>
      <c r="F9" s="5">
        <v>136.81844580781549</v>
      </c>
      <c r="G9" s="5">
        <v>167.54162894157807</v>
      </c>
      <c r="H9" s="5">
        <v>19.575062651439502</v>
      </c>
      <c r="I9" s="5">
        <v>0.84758780340578843</v>
      </c>
      <c r="J9" s="5">
        <v>28.273168956521712</v>
      </c>
      <c r="K9" s="5">
        <v>79.532036171876854</v>
      </c>
      <c r="L9" s="5">
        <v>7.0842285047742495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5" t="b">
        <v>0</v>
      </c>
      <c r="X9" s="5">
        <v>1</v>
      </c>
      <c r="Y9" s="5">
        <v>0</v>
      </c>
      <c r="Z9" s="5" t="b">
        <v>1</v>
      </c>
      <c r="AA9" s="5">
        <v>1.0251185</v>
      </c>
      <c r="AB9" s="5">
        <v>41.603224248157723</v>
      </c>
    </row>
    <row r="10" spans="1:96" x14ac:dyDescent="0.35">
      <c r="B10" s="5">
        <v>50</v>
      </c>
      <c r="C10" s="5">
        <v>12.003110895260109</v>
      </c>
      <c r="D10" s="5">
        <v>12.548905493502645</v>
      </c>
      <c r="E10" s="5">
        <v>6.0180465783190744</v>
      </c>
      <c r="F10" s="5">
        <v>144.51270093394248</v>
      </c>
      <c r="G10" s="5">
        <v>128.28893115171306</v>
      </c>
      <c r="H10" s="5">
        <v>1.3889801164895843</v>
      </c>
      <c r="I10" s="5">
        <v>0.87401977298975964</v>
      </c>
      <c r="J10" s="5">
        <v>30.195831367949754</v>
      </c>
      <c r="K10" s="5">
        <v>67.13182224477589</v>
      </c>
      <c r="L10" s="5">
        <v>6.9132366796717015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5" t="b">
        <v>0</v>
      </c>
      <c r="X10" s="5">
        <v>1</v>
      </c>
      <c r="Y10" s="5">
        <v>0</v>
      </c>
      <c r="Z10" s="5" t="b">
        <v>0</v>
      </c>
      <c r="AA10" s="5">
        <v>1.3377780000000001</v>
      </c>
      <c r="AB10" s="5">
        <v>44.109782895260103</v>
      </c>
    </row>
    <row r="11" spans="1:96" x14ac:dyDescent="0.35">
      <c r="B11" s="5">
        <v>63</v>
      </c>
      <c r="C11" s="5">
        <v>17.001241621890767</v>
      </c>
      <c r="D11" s="5">
        <v>13.698257878890903</v>
      </c>
      <c r="E11" s="5">
        <v>6.4141661272275101</v>
      </c>
      <c r="F11" s="5">
        <v>137.25600034670973</v>
      </c>
      <c r="G11" s="5">
        <v>169.35607218923923</v>
      </c>
      <c r="H11" s="5">
        <v>17.662835395047598</v>
      </c>
      <c r="I11" s="5">
        <v>1.1726204035668228</v>
      </c>
      <c r="J11" s="5">
        <v>30.532502034974744</v>
      </c>
      <c r="K11" s="5">
        <v>48.787657147299683</v>
      </c>
      <c r="L11" s="5">
        <v>6.085845925709541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>
        <v>2</v>
      </c>
      <c r="Y11" s="5">
        <v>0</v>
      </c>
      <c r="Z11" s="5" t="b">
        <v>0</v>
      </c>
      <c r="AA11" s="5">
        <v>1.2565466999999999</v>
      </c>
      <c r="AB11" s="5">
        <v>47.158362421890764</v>
      </c>
    </row>
    <row r="12" spans="1:96" x14ac:dyDescent="0.35">
      <c r="B12" s="5">
        <v>20</v>
      </c>
      <c r="C12" s="5">
        <v>6.0016718852476014</v>
      </c>
      <c r="D12" s="5">
        <v>10.791236615873935</v>
      </c>
      <c r="E12" s="5">
        <v>13.749472244784444</v>
      </c>
      <c r="F12" s="5">
        <v>143.63915603504705</v>
      </c>
      <c r="G12" s="5">
        <v>89.290253241612447</v>
      </c>
      <c r="H12" s="5">
        <v>29.995896795134861</v>
      </c>
      <c r="I12" s="5">
        <v>0.90559968356022036</v>
      </c>
      <c r="J12" s="5">
        <v>31.871697095118904</v>
      </c>
      <c r="K12" s="5">
        <v>77.511154225025081</v>
      </c>
      <c r="L12" s="5">
        <v>5.9160471609790175</v>
      </c>
      <c r="M12" s="5" t="b">
        <v>0</v>
      </c>
      <c r="N12" s="5" t="b">
        <v>0</v>
      </c>
      <c r="O12" s="5" t="b">
        <v>0</v>
      </c>
      <c r="P12" s="5" t="b">
        <v>0</v>
      </c>
      <c r="Q12" s="5" t="b">
        <v>0</v>
      </c>
      <c r="R12" s="5" t="b">
        <v>0</v>
      </c>
      <c r="S12" s="5" t="b">
        <v>0</v>
      </c>
      <c r="T12" s="5" t="b">
        <v>0</v>
      </c>
      <c r="U12" s="5" t="b">
        <v>0</v>
      </c>
      <c r="V12" s="5" t="b">
        <v>0</v>
      </c>
      <c r="W12" s="5" t="b">
        <v>0</v>
      </c>
      <c r="X12" s="5">
        <v>2</v>
      </c>
      <c r="Y12" s="5">
        <v>0</v>
      </c>
      <c r="Z12" s="5" t="b">
        <v>0</v>
      </c>
      <c r="AA12" s="5">
        <v>1.8012538</v>
      </c>
      <c r="AB12" s="5">
        <v>49.2317630852476</v>
      </c>
    </row>
    <row r="13" spans="1:96" x14ac:dyDescent="0.35">
      <c r="B13" s="5">
        <v>32</v>
      </c>
      <c r="C13" s="5">
        <v>12.001312305305502</v>
      </c>
      <c r="D13" s="5">
        <v>11.697112368679702</v>
      </c>
      <c r="E13" s="5">
        <v>7.8066296033011557</v>
      </c>
      <c r="F13" s="5">
        <v>137.27463465768224</v>
      </c>
      <c r="G13" s="5">
        <v>93.048859013140657</v>
      </c>
      <c r="H13" s="5">
        <v>0.57459213181355473</v>
      </c>
      <c r="I13" s="5">
        <v>1.0232467475026541</v>
      </c>
      <c r="J13" s="5">
        <v>32.314475074625996</v>
      </c>
      <c r="K13" s="5">
        <v>93.712680298145685</v>
      </c>
      <c r="L13" s="5">
        <v>6.6549306441381697</v>
      </c>
      <c r="M13" s="5" t="b">
        <v>0</v>
      </c>
      <c r="N13" s="5" t="b">
        <v>0</v>
      </c>
      <c r="O13" s="5" t="b">
        <v>0</v>
      </c>
      <c r="P13" s="5" t="b">
        <v>0</v>
      </c>
      <c r="Q13" s="5" t="b">
        <v>0</v>
      </c>
      <c r="R13" s="5" t="b">
        <v>0</v>
      </c>
      <c r="S13" s="5" t="b">
        <v>0</v>
      </c>
      <c r="T13" s="5" t="b">
        <v>0</v>
      </c>
      <c r="U13" s="5" t="b">
        <v>0</v>
      </c>
      <c r="V13" s="5" t="b">
        <v>0</v>
      </c>
      <c r="W13" s="5" t="b">
        <v>0</v>
      </c>
      <c r="X13" s="5">
        <v>2</v>
      </c>
      <c r="Y13" s="5">
        <v>0</v>
      </c>
      <c r="Z13" s="5" t="b">
        <v>1</v>
      </c>
      <c r="AA13" s="5">
        <v>1.7154639</v>
      </c>
      <c r="AB13" s="5">
        <v>53.172445905305501</v>
      </c>
    </row>
    <row r="14" spans="1:96" x14ac:dyDescent="0.35">
      <c r="B14" s="5">
        <v>19</v>
      </c>
      <c r="C14" s="5">
        <v>6.0012755704923917</v>
      </c>
      <c r="D14" s="5">
        <v>13.760214477098939</v>
      </c>
      <c r="E14" s="5">
        <v>7.8893935469168612</v>
      </c>
      <c r="F14" s="5">
        <v>132.69043662113609</v>
      </c>
      <c r="G14" s="5">
        <v>126.84335149451346</v>
      </c>
      <c r="H14" s="5">
        <v>1.7356781245373885</v>
      </c>
      <c r="I14" s="5">
        <v>1.1342733796521145</v>
      </c>
      <c r="J14" s="5">
        <v>29.355846310833407</v>
      </c>
      <c r="K14" s="5">
        <v>65.485227940851203</v>
      </c>
      <c r="L14" s="5">
        <v>6.6545602426543198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0</v>
      </c>
      <c r="R14" s="5" t="b">
        <v>0</v>
      </c>
      <c r="S14" s="5" t="b">
        <v>0</v>
      </c>
      <c r="T14" s="5" t="b">
        <v>0</v>
      </c>
      <c r="U14" s="5" t="b">
        <v>0</v>
      </c>
      <c r="V14" s="5" t="b">
        <v>0</v>
      </c>
      <c r="W14" s="5" t="b">
        <v>0</v>
      </c>
      <c r="X14" s="5">
        <v>2</v>
      </c>
      <c r="Y14" s="5">
        <v>1</v>
      </c>
      <c r="Z14" s="5" t="b">
        <v>0</v>
      </c>
      <c r="AA14" s="5">
        <v>2.0354152000000001</v>
      </c>
      <c r="AB14" s="5">
        <v>54.851240370492391</v>
      </c>
    </row>
    <row r="15" spans="1:96" x14ac:dyDescent="0.35">
      <c r="B15" s="5">
        <v>5</v>
      </c>
      <c r="C15" s="5">
        <v>4.669687008082451E-4</v>
      </c>
      <c r="D15" s="5">
        <v>10.458852507422261</v>
      </c>
      <c r="E15" s="5">
        <v>9.748970045239405</v>
      </c>
      <c r="F15" s="5">
        <v>139.69992584332348</v>
      </c>
      <c r="G15" s="5">
        <v>180.36577651825078</v>
      </c>
      <c r="H15" s="5">
        <v>6.705824453524496</v>
      </c>
      <c r="I15" s="5">
        <v>0.96717053370376371</v>
      </c>
      <c r="J15" s="5">
        <v>28.093501274825272</v>
      </c>
      <c r="K15" s="5">
        <v>59.988884154075613</v>
      </c>
      <c r="L15" s="5">
        <v>6.5393641376956317</v>
      </c>
      <c r="M15" s="5" t="b">
        <v>0</v>
      </c>
      <c r="N15" s="5" t="b">
        <v>0</v>
      </c>
      <c r="O15" s="5" t="b">
        <v>0</v>
      </c>
      <c r="P15" s="5" t="b">
        <v>0</v>
      </c>
      <c r="Q15" s="5" t="b">
        <v>0</v>
      </c>
      <c r="R15" s="5" t="b">
        <v>0</v>
      </c>
      <c r="S15" s="5" t="b">
        <v>0</v>
      </c>
      <c r="T15" s="5" t="b">
        <v>0</v>
      </c>
      <c r="U15" s="5" t="b">
        <v>0</v>
      </c>
      <c r="V15" s="5" t="b">
        <v>0</v>
      </c>
      <c r="W15" s="5" t="b">
        <v>0</v>
      </c>
      <c r="X15" s="5">
        <v>2</v>
      </c>
      <c r="Y15" s="5">
        <v>1</v>
      </c>
      <c r="Z15" s="5" t="b">
        <v>1</v>
      </c>
      <c r="AA15" s="5">
        <v>2.3231988000000001</v>
      </c>
      <c r="AB15" s="5">
        <v>55.757238168700809</v>
      </c>
    </row>
    <row r="16" spans="1:96" x14ac:dyDescent="0.35">
      <c r="B16" s="5">
        <v>68</v>
      </c>
      <c r="C16" s="5">
        <v>17.001941176111558</v>
      </c>
      <c r="D16" s="5">
        <v>12.993001522526944</v>
      </c>
      <c r="E16" s="5">
        <v>14.505121158787581</v>
      </c>
      <c r="F16" s="5">
        <v>137.15811164178015</v>
      </c>
      <c r="G16" s="5">
        <v>215.52752418027831</v>
      </c>
      <c r="H16" s="5">
        <v>18.307143426888352</v>
      </c>
      <c r="I16" s="5">
        <v>0.77330549996262121</v>
      </c>
      <c r="J16" s="5">
        <v>28.976596673323375</v>
      </c>
      <c r="K16" s="5">
        <v>71.211500160210264</v>
      </c>
      <c r="L16" s="5">
        <v>6.7753787806222974</v>
      </c>
      <c r="M16" s="5" t="b">
        <v>0</v>
      </c>
      <c r="N16" s="5" t="b">
        <v>0</v>
      </c>
      <c r="O16" s="5" t="b">
        <v>0</v>
      </c>
      <c r="P16" s="5" t="b">
        <v>0</v>
      </c>
      <c r="Q16" s="5" t="b">
        <v>0</v>
      </c>
      <c r="R16" s="5" t="b">
        <v>0</v>
      </c>
      <c r="S16" s="5" t="b">
        <v>0</v>
      </c>
      <c r="T16" s="5" t="b">
        <v>0</v>
      </c>
      <c r="U16" s="5" t="b">
        <v>0</v>
      </c>
      <c r="V16" s="5" t="b">
        <v>0</v>
      </c>
      <c r="W16" s="5" t="b">
        <v>0</v>
      </c>
      <c r="X16" s="5">
        <v>1</v>
      </c>
      <c r="Y16" s="5">
        <v>0</v>
      </c>
      <c r="Z16" s="5" t="b">
        <v>0</v>
      </c>
      <c r="AA16" s="5">
        <v>1.6876688</v>
      </c>
      <c r="AB16" s="5">
        <v>57.505992376111557</v>
      </c>
    </row>
    <row r="17" spans="2:28" x14ac:dyDescent="0.35">
      <c r="B17" s="5">
        <v>39</v>
      </c>
      <c r="C17" s="5">
        <v>12.00191549180977</v>
      </c>
      <c r="D17" s="5">
        <v>11.292411850947538</v>
      </c>
      <c r="E17" s="5">
        <v>4.3818828851024216</v>
      </c>
      <c r="F17" s="5">
        <v>138.86753709468394</v>
      </c>
      <c r="G17" s="5">
        <v>160.60684880959121</v>
      </c>
      <c r="H17" s="5">
        <v>13.52549306463529</v>
      </c>
      <c r="I17" s="5">
        <v>1.1127210788678825</v>
      </c>
      <c r="J17" s="5">
        <v>26.354270686604625</v>
      </c>
      <c r="K17" s="5">
        <v>62.189420822589319</v>
      </c>
      <c r="L17" s="5">
        <v>6.2373303302100673</v>
      </c>
      <c r="M17" s="5" t="b">
        <v>0</v>
      </c>
      <c r="N17" s="5" t="b">
        <v>0</v>
      </c>
      <c r="O17" s="5" t="b">
        <v>0</v>
      </c>
      <c r="P17" s="5" t="b">
        <v>0</v>
      </c>
      <c r="Q17" s="5" t="b">
        <v>0</v>
      </c>
      <c r="R17" s="5" t="b">
        <v>0</v>
      </c>
      <c r="S17" s="5" t="b">
        <v>0</v>
      </c>
      <c r="T17" s="5" t="b">
        <v>0</v>
      </c>
      <c r="U17" s="5" t="b">
        <v>0</v>
      </c>
      <c r="V17" s="5" t="b">
        <v>0</v>
      </c>
      <c r="W17" s="5" t="b">
        <v>0</v>
      </c>
      <c r="X17" s="5">
        <v>3</v>
      </c>
      <c r="Y17" s="5">
        <v>1</v>
      </c>
      <c r="Z17" s="5" t="b">
        <v>0</v>
      </c>
      <c r="AA17" s="5">
        <v>1.9300002000000003</v>
      </c>
      <c r="AB17" s="5">
        <v>58.321920291809768</v>
      </c>
    </row>
    <row r="18" spans="2:28" x14ac:dyDescent="0.35">
      <c r="B18" s="5">
        <v>52</v>
      </c>
      <c r="C18" s="5">
        <v>12.003349808396635</v>
      </c>
      <c r="D18" s="5">
        <v>9.627081719289496</v>
      </c>
      <c r="E18" s="5">
        <v>12.089594889435462</v>
      </c>
      <c r="F18" s="5">
        <v>140.35544825838468</v>
      </c>
      <c r="G18" s="5">
        <v>137.73346722472121</v>
      </c>
      <c r="H18" s="5">
        <v>3.5119408332770004</v>
      </c>
      <c r="I18" s="5">
        <v>1.167311773931704</v>
      </c>
      <c r="J18" s="5">
        <v>28.040402607862116</v>
      </c>
      <c r="K18" s="5">
        <v>41.938216016831262</v>
      </c>
      <c r="L18" s="5">
        <v>6.5402555012554027</v>
      </c>
      <c r="M18" s="5" t="b">
        <v>0</v>
      </c>
      <c r="N18" s="5" t="b">
        <v>0</v>
      </c>
      <c r="O18" s="5" t="b">
        <v>0</v>
      </c>
      <c r="P18" s="5" t="b">
        <v>0</v>
      </c>
      <c r="Q18" s="5" t="b">
        <v>0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0</v>
      </c>
      <c r="W18" s="5" t="b">
        <v>0</v>
      </c>
      <c r="X18" s="5">
        <v>1</v>
      </c>
      <c r="Y18" s="5">
        <v>0</v>
      </c>
      <c r="Z18" s="5" t="b">
        <v>1</v>
      </c>
      <c r="AA18" s="5">
        <v>1.9811421999999999</v>
      </c>
      <c r="AB18" s="5">
        <v>59.550762608396639</v>
      </c>
    </row>
    <row r="19" spans="2:28" x14ac:dyDescent="0.35">
      <c r="B19" s="5">
        <v>74</v>
      </c>
      <c r="C19" s="5">
        <v>36.799535669827947</v>
      </c>
      <c r="D19" s="5">
        <v>11.723807962696695</v>
      </c>
      <c r="E19" s="5">
        <v>22.772871001900146</v>
      </c>
      <c r="F19" s="5">
        <v>136.24367150267537</v>
      </c>
      <c r="G19" s="5">
        <v>148.61013346035358</v>
      </c>
      <c r="H19" s="5">
        <v>5.152513999790262</v>
      </c>
      <c r="I19" s="5">
        <v>1.1827020510060311</v>
      </c>
      <c r="J19" s="5">
        <v>30.349126263497244</v>
      </c>
      <c r="K19" s="5">
        <v>81.371855071438887</v>
      </c>
      <c r="L19" s="5">
        <v>6.4237895115551993</v>
      </c>
      <c r="M19" s="5" t="b">
        <v>0</v>
      </c>
      <c r="N19" s="5" t="b">
        <v>0</v>
      </c>
      <c r="O19" s="5" t="b">
        <v>0</v>
      </c>
      <c r="P19" s="5" t="b">
        <v>0</v>
      </c>
      <c r="Q19" s="5" t="b">
        <v>0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5" t="b">
        <v>0</v>
      </c>
      <c r="X19" s="5">
        <v>1</v>
      </c>
      <c r="Y19" s="5">
        <v>0</v>
      </c>
      <c r="Z19" s="5" t="b">
        <v>0</v>
      </c>
      <c r="AA19" s="5">
        <v>1.0197662999999997</v>
      </c>
      <c r="AB19" s="5">
        <v>61.273926869827946</v>
      </c>
    </row>
    <row r="20" spans="2:28" x14ac:dyDescent="0.35">
      <c r="B20" s="5">
        <v>31</v>
      </c>
      <c r="C20" s="5">
        <v>12.001142965381689</v>
      </c>
      <c r="D20" s="5">
        <v>12.887136509863563</v>
      </c>
      <c r="E20" s="5">
        <v>21.180301577253395</v>
      </c>
      <c r="F20" s="5">
        <v>141.41952906546854</v>
      </c>
      <c r="G20" s="5">
        <v>98.232272436298473</v>
      </c>
      <c r="H20" s="5">
        <v>17.664530589949926</v>
      </c>
      <c r="I20" s="5">
        <v>1.137839385253596</v>
      </c>
      <c r="J20" s="5">
        <v>25.54832421764911</v>
      </c>
      <c r="K20" s="5">
        <v>82.515868368271995</v>
      </c>
      <c r="L20" s="5">
        <v>6.7957642339927631</v>
      </c>
      <c r="M20" s="5" t="b">
        <v>0</v>
      </c>
      <c r="N20" s="5" t="b">
        <v>0</v>
      </c>
      <c r="O20" s="5" t="b">
        <v>0</v>
      </c>
      <c r="P20" s="5" t="b">
        <v>0</v>
      </c>
      <c r="Q20" s="5" t="b">
        <v>0</v>
      </c>
      <c r="R20" s="5" t="b">
        <v>0</v>
      </c>
      <c r="S20" s="5" t="b">
        <v>0</v>
      </c>
      <c r="T20" s="5" t="b">
        <v>0</v>
      </c>
      <c r="U20" s="5" t="b">
        <v>0</v>
      </c>
      <c r="V20" s="5" t="b">
        <v>0</v>
      </c>
      <c r="W20" s="5" t="b">
        <v>0</v>
      </c>
      <c r="X20" s="5">
        <v>1</v>
      </c>
      <c r="Y20" s="5">
        <v>0</v>
      </c>
      <c r="Z20" s="5" t="b">
        <v>1</v>
      </c>
      <c r="AA20" s="5">
        <v>2.2056420000000001</v>
      </c>
      <c r="AB20" s="5">
        <v>64.936550965381684</v>
      </c>
    </row>
    <row r="21" spans="2:28" x14ac:dyDescent="0.35">
      <c r="B21" s="5">
        <v>12</v>
      </c>
      <c r="C21" s="5">
        <v>6.0006466095444129</v>
      </c>
      <c r="D21" s="5">
        <v>13.85412300969046</v>
      </c>
      <c r="E21" s="5">
        <v>7.5449670630533925</v>
      </c>
      <c r="F21" s="5">
        <v>135.65470675860183</v>
      </c>
      <c r="G21" s="5">
        <v>117.48797056211433</v>
      </c>
      <c r="H21" s="5">
        <v>23.754259329287972</v>
      </c>
      <c r="I21" s="5">
        <v>1.2175241234146417</v>
      </c>
      <c r="J21" s="5">
        <v>28.045309206626818</v>
      </c>
      <c r="K21" s="5">
        <v>95.236475248192335</v>
      </c>
      <c r="L21" s="5">
        <v>6.1466558811155991</v>
      </c>
      <c r="M21" s="5" t="b">
        <v>0</v>
      </c>
      <c r="N21" s="5" t="b">
        <v>0</v>
      </c>
      <c r="O21" s="5" t="b">
        <v>0</v>
      </c>
      <c r="P21" s="5" t="b">
        <v>0</v>
      </c>
      <c r="Q21" s="5" t="b">
        <v>0</v>
      </c>
      <c r="R21" s="5" t="b">
        <v>0</v>
      </c>
      <c r="S21" s="5" t="b">
        <v>0</v>
      </c>
      <c r="T21" s="5" t="b">
        <v>0</v>
      </c>
      <c r="U21" s="5" t="b">
        <v>0</v>
      </c>
      <c r="V21" s="5" t="b">
        <v>0</v>
      </c>
      <c r="W21" s="5" t="b">
        <v>0</v>
      </c>
      <c r="X21" s="5">
        <v>0</v>
      </c>
      <c r="Y21" s="5">
        <v>1</v>
      </c>
      <c r="Z21" s="5" t="b">
        <v>1</v>
      </c>
      <c r="AA21" s="5">
        <v>2.5969033000000001</v>
      </c>
      <c r="AB21" s="5">
        <v>68.326325809544414</v>
      </c>
    </row>
    <row r="22" spans="2:28" x14ac:dyDescent="0.35">
      <c r="B22" s="5">
        <v>40</v>
      </c>
      <c r="C22" s="5">
        <v>12.002097928225547</v>
      </c>
      <c r="D22" s="5">
        <v>11.430001222729922</v>
      </c>
      <c r="E22" s="5">
        <v>12.898466338935688</v>
      </c>
      <c r="F22" s="5">
        <v>140.76049703136238</v>
      </c>
      <c r="G22" s="5">
        <v>190.49821791948639</v>
      </c>
      <c r="H22" s="5">
        <v>8.5535625455425475</v>
      </c>
      <c r="I22" s="5">
        <v>1.3374572596610703</v>
      </c>
      <c r="J22" s="5">
        <v>31.967887730223726</v>
      </c>
      <c r="K22" s="5">
        <v>61.459955135184188</v>
      </c>
      <c r="L22" s="5">
        <v>5.0250028833167857</v>
      </c>
      <c r="M22" s="5" t="b">
        <v>0</v>
      </c>
      <c r="N22" s="5" t="b">
        <v>0</v>
      </c>
      <c r="O22" s="5" t="b">
        <v>0</v>
      </c>
      <c r="P22" s="5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5" t="b">
        <v>0</v>
      </c>
      <c r="V22" s="5" t="b">
        <v>0</v>
      </c>
      <c r="W22" s="5" t="b">
        <v>0</v>
      </c>
      <c r="X22" s="5">
        <v>1</v>
      </c>
      <c r="Y22" s="5">
        <v>0</v>
      </c>
      <c r="Z22" s="5" t="b">
        <v>0</v>
      </c>
      <c r="AA22" s="5">
        <v>2.4148247</v>
      </c>
      <c r="AB22" s="5">
        <v>69.95789072822555</v>
      </c>
    </row>
    <row r="23" spans="2:28" x14ac:dyDescent="0.35">
      <c r="B23" s="5">
        <v>6</v>
      </c>
      <c r="C23" s="5">
        <v>3.3619766694211606E-4</v>
      </c>
      <c r="D23" s="5">
        <v>9.6541741149076383</v>
      </c>
      <c r="E23" s="5">
        <v>0.24751765048407037</v>
      </c>
      <c r="F23" s="5">
        <v>135.50700080330191</v>
      </c>
      <c r="G23" s="5">
        <v>133.83637965410736</v>
      </c>
      <c r="H23" s="5">
        <v>28.366652533915143</v>
      </c>
      <c r="I23" s="5">
        <v>1.0282976152457322</v>
      </c>
      <c r="J23" s="5">
        <v>31.112564430291222</v>
      </c>
      <c r="K23" s="5">
        <v>64.062946114107476</v>
      </c>
      <c r="L23" s="5">
        <v>5.4813713750536532</v>
      </c>
      <c r="M23" s="5" t="b">
        <v>0</v>
      </c>
      <c r="N23" s="5" t="b">
        <v>0</v>
      </c>
      <c r="O23" s="5" t="b">
        <v>0</v>
      </c>
      <c r="P23" s="5" t="b">
        <v>0</v>
      </c>
      <c r="Q23" s="5" t="b">
        <v>0</v>
      </c>
      <c r="R23" s="5" t="b">
        <v>0</v>
      </c>
      <c r="S23" s="5" t="b">
        <v>0</v>
      </c>
      <c r="T23" s="5" t="b">
        <v>0</v>
      </c>
      <c r="U23" s="5" t="b">
        <v>0</v>
      </c>
      <c r="V23" s="5" t="b">
        <v>0</v>
      </c>
      <c r="W23" s="5" t="b">
        <v>0</v>
      </c>
      <c r="X23" s="5">
        <v>0</v>
      </c>
      <c r="Y23" s="5">
        <v>0</v>
      </c>
      <c r="Z23" s="5" t="b">
        <v>1</v>
      </c>
      <c r="AA23" s="5">
        <v>2.9677210000000001</v>
      </c>
      <c r="AB23" s="5">
        <v>71.225640197666934</v>
      </c>
    </row>
    <row r="24" spans="2:28" x14ac:dyDescent="0.35">
      <c r="B24" s="5">
        <v>15</v>
      </c>
      <c r="C24" s="5">
        <v>6.0009688523343669</v>
      </c>
      <c r="D24" s="5">
        <v>13.198864590274523</v>
      </c>
      <c r="E24" s="5">
        <v>9.6687360777116158</v>
      </c>
      <c r="F24" s="5">
        <v>134.9613381175771</v>
      </c>
      <c r="G24" s="5">
        <v>162.65079842393348</v>
      </c>
      <c r="H24" s="5">
        <v>7.9267327277000899</v>
      </c>
      <c r="I24" s="5">
        <v>0.81283425672961696</v>
      </c>
      <c r="J24" s="5">
        <v>28.966680562404079</v>
      </c>
      <c r="K24" s="5">
        <v>91.059523124351017</v>
      </c>
      <c r="L24" s="5">
        <v>6.4886497366676394</v>
      </c>
      <c r="M24" s="5" t="b">
        <v>0</v>
      </c>
      <c r="N24" s="5" t="b">
        <v>0</v>
      </c>
      <c r="O24" s="5" t="b">
        <v>0</v>
      </c>
      <c r="P24" s="5" t="b">
        <v>0</v>
      </c>
      <c r="Q24" s="5" t="b">
        <v>0</v>
      </c>
      <c r="R24" s="5" t="b">
        <v>0</v>
      </c>
      <c r="S24" s="5" t="b">
        <v>0</v>
      </c>
      <c r="T24" s="5" t="b">
        <v>0</v>
      </c>
      <c r="U24" s="5" t="b">
        <v>0</v>
      </c>
      <c r="V24" s="5" t="b">
        <v>0</v>
      </c>
      <c r="W24" s="5" t="b">
        <v>0</v>
      </c>
      <c r="X24" s="5">
        <v>2</v>
      </c>
      <c r="Y24" s="5">
        <v>1</v>
      </c>
      <c r="Z24" s="5" t="b">
        <v>0</v>
      </c>
      <c r="AA24" s="5">
        <v>2.7918910000000001</v>
      </c>
      <c r="AB24" s="5">
        <v>73.006352852334373</v>
      </c>
    </row>
    <row r="25" spans="2:28" x14ac:dyDescent="0.35">
      <c r="B25" s="5">
        <v>2</v>
      </c>
      <c r="C25" s="5">
        <v>5.3304181820269748E-4</v>
      </c>
      <c r="D25" s="5">
        <v>11.852104507613872</v>
      </c>
      <c r="E25" s="5">
        <v>12.155182330756947</v>
      </c>
      <c r="F25" s="5">
        <v>139.21937594463759</v>
      </c>
      <c r="G25" s="5">
        <v>152.15600144073312</v>
      </c>
      <c r="H25" s="5">
        <v>7.5565525633856465</v>
      </c>
      <c r="I25" s="5">
        <v>1.0845578017278308</v>
      </c>
      <c r="J25" s="5">
        <v>27.756334801308014</v>
      </c>
      <c r="K25" s="5">
        <v>57.752553172594297</v>
      </c>
      <c r="L25" s="5">
        <v>6.8714366699549787</v>
      </c>
      <c r="M25" s="5" t="b">
        <v>0</v>
      </c>
      <c r="N25" s="5" t="b">
        <v>0</v>
      </c>
      <c r="O25" s="5" t="b">
        <v>0</v>
      </c>
      <c r="P25" s="5" t="b">
        <v>1</v>
      </c>
      <c r="Q25" s="5" t="b">
        <v>0</v>
      </c>
      <c r="R25" s="5" t="b">
        <v>0</v>
      </c>
      <c r="S25" s="5" t="b">
        <v>0</v>
      </c>
      <c r="T25" s="5" t="b">
        <v>1</v>
      </c>
      <c r="U25" s="5" t="b">
        <v>0</v>
      </c>
      <c r="V25" s="5" t="b">
        <v>0</v>
      </c>
      <c r="W25" s="5" t="b">
        <v>0</v>
      </c>
      <c r="X25" s="5">
        <v>2</v>
      </c>
      <c r="Y25" s="5">
        <v>0</v>
      </c>
      <c r="Z25" s="5" t="b">
        <v>0</v>
      </c>
      <c r="AA25" s="5">
        <v>3.0463681000000005</v>
      </c>
      <c r="AB25" s="5">
        <v>73.113367441818212</v>
      </c>
    </row>
    <row r="26" spans="2:28" x14ac:dyDescent="0.35">
      <c r="B26" s="5">
        <v>9</v>
      </c>
      <c r="C26" s="5">
        <v>6.0004070130811407</v>
      </c>
      <c r="D26" s="5">
        <v>12.297414911039144</v>
      </c>
      <c r="E26" s="5">
        <v>11.348112715422783</v>
      </c>
      <c r="F26" s="5">
        <v>140.07790205941953</v>
      </c>
      <c r="G26" s="5">
        <v>138.00167338594466</v>
      </c>
      <c r="H26" s="5">
        <v>14.433339138426804</v>
      </c>
      <c r="I26" s="5">
        <v>1.0087681049272061</v>
      </c>
      <c r="J26" s="5">
        <v>30.406605843357106</v>
      </c>
      <c r="K26" s="5">
        <v>97.026229703181471</v>
      </c>
      <c r="L26" s="5">
        <v>5.7004238438093111</v>
      </c>
      <c r="M26" s="5" t="b">
        <v>0</v>
      </c>
      <c r="N26" s="5" t="b">
        <v>0</v>
      </c>
      <c r="O26" s="5" t="b">
        <v>0</v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5" t="b">
        <v>0</v>
      </c>
      <c r="V26" s="5" t="b">
        <v>0</v>
      </c>
      <c r="W26" s="5" t="b">
        <v>0</v>
      </c>
      <c r="X26" s="5">
        <v>2</v>
      </c>
      <c r="Y26" s="5">
        <v>1</v>
      </c>
      <c r="Z26" s="5" t="b">
        <v>1</v>
      </c>
      <c r="AA26" s="5">
        <v>2.8648527000000001</v>
      </c>
      <c r="AB26" s="5">
        <v>74.756871813081148</v>
      </c>
    </row>
    <row r="27" spans="2:28" x14ac:dyDescent="0.35">
      <c r="B27" s="5">
        <v>86</v>
      </c>
      <c r="C27" s="5">
        <v>57.505992376111557</v>
      </c>
      <c r="D27" s="5">
        <v>13.376025842194537</v>
      </c>
      <c r="E27" s="5">
        <v>10.561490325024685</v>
      </c>
      <c r="F27" s="5">
        <v>133.21210417956667</v>
      </c>
      <c r="G27" s="5">
        <v>144.51348439769257</v>
      </c>
      <c r="H27" s="5">
        <v>19.834128652189392</v>
      </c>
      <c r="I27" s="5">
        <v>0.99979554742133014</v>
      </c>
      <c r="J27" s="5">
        <v>27.979554718155786</v>
      </c>
      <c r="K27" s="5">
        <v>77.382754328568055</v>
      </c>
      <c r="L27" s="5">
        <v>6.9779229807316465</v>
      </c>
      <c r="M27" s="5" t="b">
        <v>0</v>
      </c>
      <c r="N27" s="5" t="b">
        <v>0</v>
      </c>
      <c r="O27" s="5" t="b">
        <v>0</v>
      </c>
      <c r="P27" s="5" t="b">
        <v>0</v>
      </c>
      <c r="Q27" s="5" t="b">
        <v>0</v>
      </c>
      <c r="R27" s="5" t="b">
        <v>0</v>
      </c>
      <c r="S27" s="5" t="b">
        <v>0</v>
      </c>
      <c r="T27" s="5" t="b">
        <v>0</v>
      </c>
      <c r="U27" s="5" t="b">
        <v>0</v>
      </c>
      <c r="V27" s="5" t="b">
        <v>0</v>
      </c>
      <c r="W27" s="5" t="b">
        <v>0</v>
      </c>
      <c r="X27" s="5">
        <v>1</v>
      </c>
      <c r="Y27" s="5">
        <v>0</v>
      </c>
      <c r="Z27" s="5" t="b">
        <v>0</v>
      </c>
      <c r="AA27" s="5">
        <v>0.89836729999999987</v>
      </c>
      <c r="AB27" s="5">
        <v>79.066807576111557</v>
      </c>
    </row>
    <row r="28" spans="2:28" x14ac:dyDescent="0.35">
      <c r="B28" s="5">
        <v>46</v>
      </c>
      <c r="C28" s="5">
        <v>12.002756690893175</v>
      </c>
      <c r="D28" s="5">
        <v>11.790201076865859</v>
      </c>
      <c r="E28" s="5">
        <v>5.6554944588398355</v>
      </c>
      <c r="F28" s="5">
        <v>137.19964672474666</v>
      </c>
      <c r="G28" s="5">
        <v>195.85786254095427</v>
      </c>
      <c r="H28" s="5">
        <v>4.7086862030841043</v>
      </c>
      <c r="I28" s="5">
        <v>0.77158585539154378</v>
      </c>
      <c r="J28" s="5">
        <v>28.837358936766623</v>
      </c>
      <c r="K28" s="5">
        <v>65.718575851741747</v>
      </c>
      <c r="L28" s="5">
        <v>6.6145348166704299</v>
      </c>
      <c r="M28" s="5" t="b">
        <v>0</v>
      </c>
      <c r="N28" s="5" t="b">
        <v>0</v>
      </c>
      <c r="O28" s="5" t="b">
        <v>0</v>
      </c>
      <c r="P28" s="5" t="b">
        <v>0</v>
      </c>
      <c r="Q28" s="5" t="b">
        <v>0</v>
      </c>
      <c r="R28" s="5" t="b">
        <v>0</v>
      </c>
      <c r="S28" s="5" t="b">
        <v>0</v>
      </c>
      <c r="T28" s="5" t="b">
        <v>0</v>
      </c>
      <c r="U28" s="5" t="b">
        <v>0</v>
      </c>
      <c r="V28" s="5" t="b">
        <v>0</v>
      </c>
      <c r="W28" s="5" t="b">
        <v>0</v>
      </c>
      <c r="X28" s="5">
        <v>1</v>
      </c>
      <c r="Y28" s="5">
        <v>1</v>
      </c>
      <c r="Z28" s="5" t="b">
        <v>0</v>
      </c>
      <c r="AA28" s="5">
        <v>2.7957491999999999</v>
      </c>
      <c r="AB28" s="5">
        <v>79.100737490893181</v>
      </c>
    </row>
    <row r="29" spans="2:28" x14ac:dyDescent="0.35">
      <c r="B29" s="5">
        <v>56</v>
      </c>
      <c r="C29" s="5">
        <v>17.000706381896407</v>
      </c>
      <c r="D29" s="5">
        <v>12.313281197362732</v>
      </c>
      <c r="E29" s="5">
        <v>12.353880004464919</v>
      </c>
      <c r="F29" s="5">
        <v>136.80427381494943</v>
      </c>
      <c r="G29" s="5">
        <v>151.98870407894049</v>
      </c>
      <c r="H29" s="5">
        <v>16.102855410199904</v>
      </c>
      <c r="I29" s="5">
        <v>0.99684747127437467</v>
      </c>
      <c r="J29" s="5">
        <v>29.086268247147128</v>
      </c>
      <c r="K29" s="5">
        <v>88.485233280206089</v>
      </c>
      <c r="L29" s="5">
        <v>5.669841291367467</v>
      </c>
      <c r="M29" s="5" t="b">
        <v>0</v>
      </c>
      <c r="N29" s="5" t="b">
        <v>0</v>
      </c>
      <c r="O29" s="5" t="b">
        <v>0</v>
      </c>
      <c r="P29" s="5" t="b">
        <v>0</v>
      </c>
      <c r="Q29" s="5" t="b">
        <v>0</v>
      </c>
      <c r="R29" s="5" t="b">
        <v>0</v>
      </c>
      <c r="S29" s="5" t="b">
        <v>0</v>
      </c>
      <c r="T29" s="5" t="b">
        <v>0</v>
      </c>
      <c r="U29" s="5" t="b">
        <v>0</v>
      </c>
      <c r="V29" s="5" t="b">
        <v>0</v>
      </c>
      <c r="W29" s="5" t="b">
        <v>0</v>
      </c>
      <c r="X29" s="5">
        <v>2</v>
      </c>
      <c r="Y29" s="5">
        <v>1</v>
      </c>
      <c r="Z29" s="5" t="b">
        <v>1</v>
      </c>
      <c r="AA29" s="5">
        <v>2.7413487000000001</v>
      </c>
      <c r="AB29" s="5">
        <v>82.793075181896413</v>
      </c>
    </row>
    <row r="30" spans="2:28" x14ac:dyDescent="0.35">
      <c r="B30" s="5">
        <v>88</v>
      </c>
      <c r="C30" s="5">
        <v>59.550762608396639</v>
      </c>
      <c r="D30" s="5">
        <v>11.576978701356907</v>
      </c>
      <c r="E30" s="5">
        <v>14.635424465218154</v>
      </c>
      <c r="F30" s="5">
        <v>137.38894196230731</v>
      </c>
      <c r="G30" s="5">
        <v>156.11625387724769</v>
      </c>
      <c r="H30" s="5">
        <v>26.502801625810985</v>
      </c>
      <c r="I30" s="5">
        <v>1.0440750813043806</v>
      </c>
      <c r="J30" s="5">
        <v>29.980628895599288</v>
      </c>
      <c r="K30" s="5">
        <v>62.939359823928797</v>
      </c>
      <c r="L30" s="5">
        <v>6.2138115721564828</v>
      </c>
      <c r="M30" s="5" t="b">
        <v>0</v>
      </c>
      <c r="N30" s="5" t="b">
        <v>0</v>
      </c>
      <c r="O30" s="5" t="b">
        <v>0</v>
      </c>
      <c r="P30" s="5" t="b">
        <v>0</v>
      </c>
      <c r="Q30" s="5" t="b">
        <v>0</v>
      </c>
      <c r="R30" s="5" t="b">
        <v>0</v>
      </c>
      <c r="S30" s="5" t="b">
        <v>0</v>
      </c>
      <c r="T30" s="5" t="b">
        <v>0</v>
      </c>
      <c r="U30" s="5" t="b">
        <v>0</v>
      </c>
      <c r="V30" s="5" t="b">
        <v>0</v>
      </c>
      <c r="W30" s="5" t="b">
        <v>0</v>
      </c>
      <c r="X30" s="5">
        <v>0</v>
      </c>
      <c r="Y30" s="5">
        <v>0</v>
      </c>
      <c r="Z30" s="5" t="b">
        <v>1</v>
      </c>
      <c r="AA30" s="5">
        <v>0.99233280000000001</v>
      </c>
      <c r="AB30" s="5">
        <v>83.366749808396634</v>
      </c>
    </row>
    <row r="31" spans="2:28" x14ac:dyDescent="0.35">
      <c r="B31" s="5">
        <v>51</v>
      </c>
      <c r="C31" s="5">
        <v>12.00333566416125</v>
      </c>
      <c r="D31" s="5">
        <v>14.48942034186371</v>
      </c>
      <c r="E31" s="5">
        <v>5.4182214971165461</v>
      </c>
      <c r="F31" s="5">
        <v>138.97856509451955</v>
      </c>
      <c r="G31" s="5">
        <v>164.65817498072369</v>
      </c>
      <c r="H31" s="5">
        <v>24.852192216005243</v>
      </c>
      <c r="I31" s="5">
        <v>1.3248269611917651</v>
      </c>
      <c r="J31" s="5">
        <v>31.723003891578092</v>
      </c>
      <c r="K31" s="5">
        <v>84.632841302456342</v>
      </c>
      <c r="L31" s="5">
        <v>6.8837839623099484</v>
      </c>
      <c r="M31" s="5" t="b">
        <v>0</v>
      </c>
      <c r="N31" s="5" t="b">
        <v>0</v>
      </c>
      <c r="O31" s="5" t="b">
        <v>0</v>
      </c>
      <c r="P31" s="5" t="b">
        <v>0</v>
      </c>
      <c r="Q31" s="5" t="b">
        <v>0</v>
      </c>
      <c r="R31" s="5" t="b">
        <v>1</v>
      </c>
      <c r="S31" s="5" t="b">
        <v>0</v>
      </c>
      <c r="T31" s="5" t="b">
        <v>0</v>
      </c>
      <c r="U31" s="5" t="b">
        <v>0</v>
      </c>
      <c r="V31" s="5" t="b">
        <v>0</v>
      </c>
      <c r="W31" s="5" t="b">
        <v>0</v>
      </c>
      <c r="X31" s="5">
        <v>2</v>
      </c>
      <c r="Y31" s="5">
        <v>0</v>
      </c>
      <c r="Z31" s="5" t="b">
        <v>0</v>
      </c>
      <c r="AA31" s="5">
        <v>2.9839112999999999</v>
      </c>
      <c r="AB31" s="5">
        <v>83.617206864161261</v>
      </c>
    </row>
    <row r="32" spans="2:28" x14ac:dyDescent="0.35">
      <c r="B32" s="5">
        <v>28</v>
      </c>
      <c r="C32" s="5">
        <v>12.000522814047876</v>
      </c>
      <c r="D32" s="5">
        <v>11.92176554048743</v>
      </c>
      <c r="E32" s="5">
        <v>10.605221714728609</v>
      </c>
      <c r="F32" s="5">
        <v>136.56410884186397</v>
      </c>
      <c r="G32" s="5">
        <v>118.65468891472426</v>
      </c>
      <c r="H32" s="5">
        <v>19.047568948409953</v>
      </c>
      <c r="I32" s="5">
        <v>1.1074358273153375</v>
      </c>
      <c r="J32" s="5">
        <v>31.82195571430498</v>
      </c>
      <c r="K32" s="5">
        <v>63.797974836339506</v>
      </c>
      <c r="L32" s="5">
        <v>6.2511267710597798</v>
      </c>
      <c r="M32" s="5" t="b">
        <v>0</v>
      </c>
      <c r="N32" s="5" t="b">
        <v>0</v>
      </c>
      <c r="O32" s="5" t="b">
        <v>1</v>
      </c>
      <c r="P32" s="5" t="b">
        <v>1</v>
      </c>
      <c r="Q32" s="5" t="b">
        <v>0</v>
      </c>
      <c r="R32" s="5" t="b">
        <v>1</v>
      </c>
      <c r="S32" s="5" t="b">
        <v>0</v>
      </c>
      <c r="T32" s="5" t="b">
        <v>0</v>
      </c>
      <c r="U32" s="5" t="b">
        <v>0</v>
      </c>
      <c r="V32" s="5" t="b">
        <v>0</v>
      </c>
      <c r="W32" s="5" t="b">
        <v>0</v>
      </c>
      <c r="X32" s="5">
        <v>1</v>
      </c>
      <c r="Y32" s="5">
        <v>0</v>
      </c>
      <c r="Z32" s="5" t="b">
        <v>1</v>
      </c>
      <c r="AA32" s="5">
        <v>3.0698173000000004</v>
      </c>
      <c r="AB32" s="5">
        <v>85.676138014047865</v>
      </c>
    </row>
    <row r="33" spans="2:28" x14ac:dyDescent="0.35">
      <c r="B33" s="5">
        <v>3</v>
      </c>
      <c r="C33" s="5">
        <v>7.0420195614330917E-4</v>
      </c>
      <c r="D33" s="5">
        <v>9.1817850474881784</v>
      </c>
      <c r="E33" s="5">
        <v>12.713067975261909</v>
      </c>
      <c r="F33" s="5">
        <v>138.07613700989521</v>
      </c>
      <c r="G33" s="5">
        <v>116.09893217201468</v>
      </c>
      <c r="H33" s="5">
        <v>12.289067034709733</v>
      </c>
      <c r="I33" s="5">
        <v>1.1006862381389888</v>
      </c>
      <c r="J33" s="5">
        <v>28.667933782678386</v>
      </c>
      <c r="K33" s="5">
        <v>88.724929691164462</v>
      </c>
      <c r="L33" s="5">
        <v>5.9605372372529644</v>
      </c>
      <c r="M33" s="5" t="b">
        <v>0</v>
      </c>
      <c r="N33" s="5" t="b">
        <v>0</v>
      </c>
      <c r="O33" s="5" t="b">
        <v>0</v>
      </c>
      <c r="P33" s="5" t="b">
        <v>0</v>
      </c>
      <c r="Q33" s="5" t="b">
        <v>1</v>
      </c>
      <c r="R33" s="5" t="b">
        <v>1</v>
      </c>
      <c r="S33" s="5" t="b">
        <v>0</v>
      </c>
      <c r="T33" s="5" t="b">
        <v>0</v>
      </c>
      <c r="U33" s="5" t="b">
        <v>0</v>
      </c>
      <c r="V33" s="5" t="b">
        <v>0</v>
      </c>
      <c r="W33" s="5" t="b">
        <v>0</v>
      </c>
      <c r="X33" s="5">
        <v>3</v>
      </c>
      <c r="Y33" s="5">
        <v>0</v>
      </c>
      <c r="Z33" s="5" t="b">
        <v>1</v>
      </c>
      <c r="AA33" s="5">
        <v>3.6269608</v>
      </c>
      <c r="AB33" s="5">
        <v>87.047763401956132</v>
      </c>
    </row>
    <row r="34" spans="2:28" x14ac:dyDescent="0.35">
      <c r="B34" s="5">
        <v>29</v>
      </c>
      <c r="C34" s="5">
        <v>12.001213449036699</v>
      </c>
      <c r="D34" s="5">
        <v>10.376306281999909</v>
      </c>
      <c r="E34" s="5">
        <v>5.9300512610912666</v>
      </c>
      <c r="F34" s="5">
        <v>135.76981648249142</v>
      </c>
      <c r="G34" s="5">
        <v>137.92617639553146</v>
      </c>
      <c r="H34" s="5">
        <v>17.432906417501773</v>
      </c>
      <c r="I34" s="5">
        <v>1.0918961335537143</v>
      </c>
      <c r="J34" s="5">
        <v>28.335429723162594</v>
      </c>
      <c r="K34" s="5">
        <v>97.103947738341532</v>
      </c>
      <c r="L34" s="5">
        <v>6.9857138943491126</v>
      </c>
      <c r="M34" s="5" t="b">
        <v>0</v>
      </c>
      <c r="N34" s="5" t="b">
        <v>1</v>
      </c>
      <c r="O34" s="5" t="b">
        <v>0</v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0</v>
      </c>
      <c r="U34" s="5" t="b">
        <v>0</v>
      </c>
      <c r="V34" s="5" t="b">
        <v>0</v>
      </c>
      <c r="W34" s="5" t="b">
        <v>0</v>
      </c>
      <c r="X34" s="5">
        <v>1</v>
      </c>
      <c r="Y34" s="5">
        <v>0</v>
      </c>
      <c r="Z34" s="5" t="b">
        <v>0</v>
      </c>
      <c r="AA34" s="5">
        <v>3.2368310000000005</v>
      </c>
      <c r="AB34" s="5">
        <v>89.685157449036694</v>
      </c>
    </row>
    <row r="35" spans="2:28" x14ac:dyDescent="0.35">
      <c r="B35" s="5">
        <v>72</v>
      </c>
      <c r="C35" s="5">
        <v>17.002417166940823</v>
      </c>
      <c r="D35" s="5">
        <v>10.269565220182745</v>
      </c>
      <c r="E35" s="5">
        <v>12.696017324375553</v>
      </c>
      <c r="F35" s="5">
        <v>138.03241630593033</v>
      </c>
      <c r="G35" s="5">
        <v>125.50950992505237</v>
      </c>
      <c r="H35" s="5">
        <v>13.285825651880604</v>
      </c>
      <c r="I35" s="5">
        <v>1.2314766091336717</v>
      </c>
      <c r="J35" s="5">
        <v>27.562707029101048</v>
      </c>
      <c r="K35" s="5">
        <v>75.384515510767827</v>
      </c>
      <c r="L35" s="5">
        <v>6.660063079080671</v>
      </c>
      <c r="M35" s="5" t="b">
        <v>0</v>
      </c>
      <c r="N35" s="5" t="b">
        <v>0</v>
      </c>
      <c r="O35" s="5" t="b">
        <v>0</v>
      </c>
      <c r="P35" s="5" t="b">
        <v>1</v>
      </c>
      <c r="Q35" s="5" t="b">
        <v>0</v>
      </c>
      <c r="R35" s="5" t="b">
        <v>0</v>
      </c>
      <c r="S35" s="5" t="b">
        <v>0</v>
      </c>
      <c r="T35" s="5" t="b">
        <v>0</v>
      </c>
      <c r="U35" s="5" t="b">
        <v>0</v>
      </c>
      <c r="V35" s="5" t="b">
        <v>0</v>
      </c>
      <c r="W35" s="5" t="b">
        <v>0</v>
      </c>
      <c r="X35" s="5">
        <v>0</v>
      </c>
      <c r="Y35" s="5">
        <v>0</v>
      </c>
      <c r="Z35" s="5" t="b">
        <v>1</v>
      </c>
      <c r="AA35" s="5">
        <v>3.0557202999999999</v>
      </c>
      <c r="AB35" s="5">
        <v>90.339704366940822</v>
      </c>
    </row>
    <row r="36" spans="2:28" x14ac:dyDescent="0.35">
      <c r="B36" s="5">
        <v>7</v>
      </c>
      <c r="C36" s="5">
        <v>2.0003859353125946</v>
      </c>
      <c r="D36" s="5">
        <v>12.931084398349681</v>
      </c>
      <c r="E36" s="5">
        <v>7.208030589328029</v>
      </c>
      <c r="F36" s="5">
        <v>139.44787329821986</v>
      </c>
      <c r="G36" s="5">
        <v>97.854013456964893</v>
      </c>
      <c r="H36" s="5">
        <v>34.710751136168</v>
      </c>
      <c r="I36" s="5">
        <v>1.4731992847158233</v>
      </c>
      <c r="J36" s="5">
        <v>28.379028022931468</v>
      </c>
      <c r="K36" s="5">
        <v>82.070474172794945</v>
      </c>
      <c r="L36" s="5">
        <v>6.3362396151100686</v>
      </c>
      <c r="M36" s="5" t="b">
        <v>0</v>
      </c>
      <c r="N36" s="5" t="b">
        <v>0</v>
      </c>
      <c r="O36" s="5" t="b">
        <v>0</v>
      </c>
      <c r="P36" s="5" t="b">
        <v>0</v>
      </c>
      <c r="Q36" s="5" t="b">
        <v>0</v>
      </c>
      <c r="R36" s="5" t="b">
        <v>1</v>
      </c>
      <c r="S36" s="5" t="b">
        <v>0</v>
      </c>
      <c r="T36" s="5" t="b">
        <v>0</v>
      </c>
      <c r="U36" s="5" t="b">
        <v>0</v>
      </c>
      <c r="V36" s="5" t="b">
        <v>0</v>
      </c>
      <c r="W36" s="5" t="b">
        <v>0</v>
      </c>
      <c r="X36" s="5">
        <v>0</v>
      </c>
      <c r="Y36" s="5">
        <v>0</v>
      </c>
      <c r="Z36" s="5" t="b">
        <v>1</v>
      </c>
      <c r="AA36" s="5">
        <v>3.7618775000000007</v>
      </c>
      <c r="AB36" s="5">
        <v>92.285445935312595</v>
      </c>
    </row>
    <row r="37" spans="2:28" x14ac:dyDescent="0.35">
      <c r="B37" s="5">
        <v>64</v>
      </c>
      <c r="C37" s="5">
        <v>17.001426026337427</v>
      </c>
      <c r="D37" s="5">
        <v>12.740176654765758</v>
      </c>
      <c r="E37" s="5">
        <v>14.844656065967932</v>
      </c>
      <c r="F37" s="5">
        <v>140.67887850574206</v>
      </c>
      <c r="G37" s="5">
        <v>149.59813516446044</v>
      </c>
      <c r="H37" s="5">
        <v>13.504567693697265</v>
      </c>
      <c r="I37" s="5">
        <v>1.0797384180878291</v>
      </c>
      <c r="J37" s="5">
        <v>29.197552775767107</v>
      </c>
      <c r="K37" s="5">
        <v>86.03871014351013</v>
      </c>
      <c r="L37" s="5">
        <v>5.7983737943447533</v>
      </c>
      <c r="M37" s="5" t="b">
        <v>1</v>
      </c>
      <c r="N37" s="5" t="b">
        <v>0</v>
      </c>
      <c r="O37" s="5" t="b">
        <v>0</v>
      </c>
      <c r="P37" s="5" t="b">
        <v>0</v>
      </c>
      <c r="Q37" s="5" t="b">
        <v>0</v>
      </c>
      <c r="R37" s="5" t="b">
        <v>0</v>
      </c>
      <c r="S37" s="5" t="b">
        <v>0</v>
      </c>
      <c r="T37" s="5" t="b">
        <v>0</v>
      </c>
      <c r="U37" s="5" t="b">
        <v>0</v>
      </c>
      <c r="V37" s="5" t="b">
        <v>0</v>
      </c>
      <c r="W37" s="5" t="b">
        <v>0</v>
      </c>
      <c r="X37" s="5">
        <v>1</v>
      </c>
      <c r="Y37" s="5">
        <v>0</v>
      </c>
      <c r="Z37" s="5" t="b">
        <v>0</v>
      </c>
      <c r="AA37" s="5">
        <v>3.1445959999999999</v>
      </c>
      <c r="AB37" s="5">
        <v>92.471730026337426</v>
      </c>
    </row>
    <row r="38" spans="2:28" x14ac:dyDescent="0.35">
      <c r="B38" s="5">
        <v>53</v>
      </c>
      <c r="C38" s="5">
        <v>12.003547278435052</v>
      </c>
      <c r="D38" s="5">
        <v>13.454510812061329</v>
      </c>
      <c r="E38" s="5">
        <v>10.337217091388219</v>
      </c>
      <c r="F38" s="5">
        <v>134.16756490300742</v>
      </c>
      <c r="G38" s="5">
        <v>148.88789282127854</v>
      </c>
      <c r="H38" s="5">
        <v>23.501862838491547</v>
      </c>
      <c r="I38" s="5">
        <v>1.0978125808098302</v>
      </c>
      <c r="J38" s="5">
        <v>34.398960425955636</v>
      </c>
      <c r="K38" s="5">
        <v>65.197070159591689</v>
      </c>
      <c r="L38" s="5">
        <v>6.416623022789774</v>
      </c>
      <c r="M38" s="5" t="b">
        <v>0</v>
      </c>
      <c r="N38" s="5" t="b">
        <v>0</v>
      </c>
      <c r="O38" s="5" t="b">
        <v>0</v>
      </c>
      <c r="P38" s="5" t="b">
        <v>0</v>
      </c>
      <c r="Q38" s="5" t="b">
        <v>0</v>
      </c>
      <c r="R38" s="5" t="b">
        <v>1</v>
      </c>
      <c r="S38" s="5" t="b">
        <v>0</v>
      </c>
      <c r="T38" s="5" t="b">
        <v>0</v>
      </c>
      <c r="U38" s="5" t="b">
        <v>0</v>
      </c>
      <c r="V38" s="5" t="b">
        <v>0</v>
      </c>
      <c r="W38" s="5" t="b">
        <v>0</v>
      </c>
      <c r="X38" s="5">
        <v>1</v>
      </c>
      <c r="Y38" s="5">
        <v>0</v>
      </c>
      <c r="Z38" s="5" t="b">
        <v>1</v>
      </c>
      <c r="AA38" s="5">
        <v>3.5321648000000003</v>
      </c>
      <c r="AB38" s="5">
        <v>96.775502478435058</v>
      </c>
    </row>
    <row r="39" spans="2:28" x14ac:dyDescent="0.35">
      <c r="B39" s="5">
        <v>30</v>
      </c>
      <c r="C39" s="5">
        <v>12.001155254924193</v>
      </c>
      <c r="D39" s="5">
        <v>9.9890569069343673</v>
      </c>
      <c r="E39" s="5">
        <v>19.795110939979534</v>
      </c>
      <c r="F39" s="5">
        <v>138.42252677059591</v>
      </c>
      <c r="G39" s="5">
        <v>146.56071525508898</v>
      </c>
      <c r="H39" s="5">
        <v>24.615978535281847</v>
      </c>
      <c r="I39" s="5">
        <v>1.0276229073519259</v>
      </c>
      <c r="J39" s="5">
        <v>30.570497903661007</v>
      </c>
      <c r="K39" s="5">
        <v>55.069596693091931</v>
      </c>
      <c r="L39" s="5">
        <v>7.039078055296133</v>
      </c>
      <c r="M39" s="5" t="b">
        <v>0</v>
      </c>
      <c r="N39" s="5" t="b">
        <v>0</v>
      </c>
      <c r="O39" s="5" t="b">
        <v>0</v>
      </c>
      <c r="P39" s="5" t="b">
        <v>0</v>
      </c>
      <c r="Q39" s="5" t="b">
        <v>0</v>
      </c>
      <c r="R39" s="5" t="b">
        <v>0</v>
      </c>
      <c r="S39" s="5" t="b">
        <v>0</v>
      </c>
      <c r="T39" s="5" t="b">
        <v>0</v>
      </c>
      <c r="U39" s="5" t="b">
        <v>0</v>
      </c>
      <c r="V39" s="5" t="b">
        <v>0</v>
      </c>
      <c r="W39" s="5" t="b">
        <v>0</v>
      </c>
      <c r="X39" s="5">
        <v>2</v>
      </c>
      <c r="Y39" s="5">
        <v>1</v>
      </c>
      <c r="Z39" s="5" t="b">
        <v>0</v>
      </c>
      <c r="AA39" s="5">
        <v>3.5848519999999997</v>
      </c>
      <c r="AB39" s="5">
        <v>98.037603254924193</v>
      </c>
    </row>
    <row r="40" spans="2:28" x14ac:dyDescent="0.35">
      <c r="B40" s="5">
        <v>11</v>
      </c>
      <c r="C40" s="5">
        <v>6.0005264997408121</v>
      </c>
      <c r="D40" s="5">
        <v>13.811768152609089</v>
      </c>
      <c r="E40" s="5">
        <v>4.9262421522221267</v>
      </c>
      <c r="F40" s="5">
        <v>137.06380650254607</v>
      </c>
      <c r="G40" s="5">
        <v>131.53414712626693</v>
      </c>
      <c r="H40" s="5">
        <v>22.906598482478312</v>
      </c>
      <c r="I40" s="5">
        <v>1.0669503870528299</v>
      </c>
      <c r="J40" s="5">
        <v>28.999158130894646</v>
      </c>
      <c r="K40" s="5">
        <v>75.989315236839857</v>
      </c>
      <c r="L40" s="5">
        <v>6.5662743123031246</v>
      </c>
      <c r="M40" s="5" t="b">
        <v>0</v>
      </c>
      <c r="N40" s="5" t="b">
        <v>0</v>
      </c>
      <c r="O40" s="5" t="b">
        <v>0</v>
      </c>
      <c r="P40" s="5" t="b">
        <v>0</v>
      </c>
      <c r="Q40" s="5" t="b">
        <v>0</v>
      </c>
      <c r="R40" s="5" t="b">
        <v>0</v>
      </c>
      <c r="S40" s="5" t="b">
        <v>0</v>
      </c>
      <c r="T40" s="5" t="b">
        <v>0</v>
      </c>
      <c r="U40" s="5" t="b">
        <v>0</v>
      </c>
      <c r="V40" s="5" t="b">
        <v>0</v>
      </c>
      <c r="W40" s="5" t="b">
        <v>0</v>
      </c>
      <c r="X40" s="5">
        <v>1</v>
      </c>
      <c r="Y40" s="5">
        <v>2</v>
      </c>
      <c r="Z40" s="5" t="b">
        <v>0</v>
      </c>
      <c r="AA40" s="5">
        <v>3.9030523000000006</v>
      </c>
      <c r="AB40" s="5">
        <v>99.673781699740815</v>
      </c>
    </row>
    <row r="41" spans="2:28" x14ac:dyDescent="0.35">
      <c r="B41" s="5">
        <v>65</v>
      </c>
      <c r="C41" s="5">
        <v>17.001561530960718</v>
      </c>
      <c r="D41" s="5">
        <v>13.496344634894694</v>
      </c>
      <c r="E41" s="5">
        <v>11.379612129011578</v>
      </c>
      <c r="F41" s="5">
        <v>141.22762631049008</v>
      </c>
      <c r="G41" s="5">
        <v>162.76298161678562</v>
      </c>
      <c r="H41" s="5">
        <v>8.6152195997482295</v>
      </c>
      <c r="I41" s="5">
        <v>1.3211799654318059</v>
      </c>
      <c r="J41" s="5">
        <v>30.284939128954267</v>
      </c>
      <c r="K41" s="5">
        <v>74.522914303005592</v>
      </c>
      <c r="L41" s="5">
        <v>7.8950012592873025</v>
      </c>
      <c r="M41" s="5" t="b">
        <v>0</v>
      </c>
      <c r="N41" s="5" t="b">
        <v>0</v>
      </c>
      <c r="O41" s="5" t="b">
        <v>0</v>
      </c>
      <c r="P41" s="5" t="b">
        <v>0</v>
      </c>
      <c r="Q41" s="5" t="b">
        <v>1</v>
      </c>
      <c r="R41" s="5" t="b">
        <v>0</v>
      </c>
      <c r="S41" s="5" t="b">
        <v>1</v>
      </c>
      <c r="T41" s="5" t="b">
        <v>0</v>
      </c>
      <c r="U41" s="5" t="b">
        <v>0</v>
      </c>
      <c r="V41" s="5" t="b">
        <v>0</v>
      </c>
      <c r="W41" s="5" t="b">
        <v>0</v>
      </c>
      <c r="X41" s="5">
        <v>3</v>
      </c>
      <c r="Y41" s="5">
        <v>0</v>
      </c>
      <c r="Z41" s="5" t="b">
        <v>0</v>
      </c>
      <c r="AA41" s="5">
        <v>3.4635281999999998</v>
      </c>
      <c r="AB41" s="5">
        <v>100.12623833096072</v>
      </c>
    </row>
    <row r="42" spans="2:28" x14ac:dyDescent="0.35">
      <c r="B42" s="5">
        <v>34</v>
      </c>
      <c r="C42" s="5">
        <v>12.001659925378696</v>
      </c>
      <c r="D42" s="5">
        <v>10.875415856507118</v>
      </c>
      <c r="E42" s="5">
        <v>9.911868470168022</v>
      </c>
      <c r="F42" s="5">
        <v>136.11924361560224</v>
      </c>
      <c r="G42" s="5">
        <v>129.36310100103142</v>
      </c>
      <c r="H42" s="5">
        <v>35.161365499480318</v>
      </c>
      <c r="I42" s="5">
        <v>1.0533734744232726</v>
      </c>
      <c r="J42" s="5">
        <v>30.447399537783511</v>
      </c>
      <c r="K42" s="5">
        <v>66.571827508613993</v>
      </c>
      <c r="L42" s="5">
        <v>6.2980516912276503</v>
      </c>
      <c r="M42" s="5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1</v>
      </c>
      <c r="U42" s="5" t="b">
        <v>0</v>
      </c>
      <c r="V42" s="5" t="b">
        <v>0</v>
      </c>
      <c r="W42" s="5" t="b">
        <v>0</v>
      </c>
      <c r="X42" s="5">
        <v>1</v>
      </c>
      <c r="Y42" s="5">
        <v>1</v>
      </c>
      <c r="Z42" s="5" t="b">
        <v>0</v>
      </c>
      <c r="AA42" s="5">
        <v>3.7751520000000003</v>
      </c>
      <c r="AB42" s="5">
        <v>102.6053079253787</v>
      </c>
    </row>
    <row r="43" spans="2:28" x14ac:dyDescent="0.35">
      <c r="B43" s="5">
        <v>47</v>
      </c>
      <c r="C43" s="5">
        <v>12.002789665443942</v>
      </c>
      <c r="D43" s="5">
        <v>11.731222307467597</v>
      </c>
      <c r="E43" s="5">
        <v>20.708456991980054</v>
      </c>
      <c r="F43" s="5">
        <v>136.50641511398823</v>
      </c>
      <c r="G43" s="5">
        <v>153.33501053378311</v>
      </c>
      <c r="H43" s="5">
        <v>5.3079168448978429</v>
      </c>
      <c r="I43" s="5">
        <v>1.1012816688619511</v>
      </c>
      <c r="J43" s="5">
        <v>29.426249906834222</v>
      </c>
      <c r="K43" s="5">
        <v>70.299657299865885</v>
      </c>
      <c r="L43" s="5">
        <v>6.8197609753387569</v>
      </c>
      <c r="M43" s="5" t="b">
        <v>0</v>
      </c>
      <c r="N43" s="5" t="b">
        <v>0</v>
      </c>
      <c r="O43" s="5" t="b">
        <v>0</v>
      </c>
      <c r="P43" s="5" t="b">
        <v>0</v>
      </c>
      <c r="Q43" s="5" t="b">
        <v>0</v>
      </c>
      <c r="R43" s="5" t="b">
        <v>1</v>
      </c>
      <c r="S43" s="5" t="b">
        <v>0</v>
      </c>
      <c r="T43" s="5" t="b">
        <v>0</v>
      </c>
      <c r="U43" s="5" t="b">
        <v>0</v>
      </c>
      <c r="V43" s="5" t="b">
        <v>0</v>
      </c>
      <c r="W43" s="5" t="b">
        <v>0</v>
      </c>
      <c r="X43" s="5">
        <v>1</v>
      </c>
      <c r="Y43" s="5">
        <v>1</v>
      </c>
      <c r="Z43" s="5" t="b">
        <v>1</v>
      </c>
      <c r="AA43" s="5">
        <v>3.9855607000000006</v>
      </c>
      <c r="AB43" s="5">
        <v>107.65624646544394</v>
      </c>
    </row>
    <row r="44" spans="2:28" x14ac:dyDescent="0.35">
      <c r="B44" s="5">
        <v>27</v>
      </c>
      <c r="C44" s="5">
        <v>12.00063966870084</v>
      </c>
      <c r="D44" s="5">
        <v>11.251108142039353</v>
      </c>
      <c r="E44" s="5">
        <v>11.168441866221364</v>
      </c>
      <c r="F44" s="5">
        <v>137.88099589496454</v>
      </c>
      <c r="G44" s="5">
        <v>157.93875260611426</v>
      </c>
      <c r="H44" s="5">
        <v>4.2896171553735609</v>
      </c>
      <c r="I44" s="5">
        <v>0.98803769095612359</v>
      </c>
      <c r="J44" s="5">
        <v>28.590251560915178</v>
      </c>
      <c r="K44" s="5">
        <v>47.741606213645959</v>
      </c>
      <c r="L44" s="5">
        <v>6.1405530994183746</v>
      </c>
      <c r="M44" s="5" t="b">
        <v>0</v>
      </c>
      <c r="N44" s="5" t="b">
        <v>0</v>
      </c>
      <c r="O44" s="5" t="b">
        <v>0</v>
      </c>
      <c r="P44" s="5" t="b">
        <v>0</v>
      </c>
      <c r="Q44" s="5" t="b">
        <v>0</v>
      </c>
      <c r="R44" s="5" t="b">
        <v>0</v>
      </c>
      <c r="S44" s="5" t="b">
        <v>0</v>
      </c>
      <c r="T44" s="5" t="b">
        <v>0</v>
      </c>
      <c r="U44" s="5" t="b">
        <v>0</v>
      </c>
      <c r="V44" s="5" t="b">
        <v>0</v>
      </c>
      <c r="W44" s="5" t="b">
        <v>0</v>
      </c>
      <c r="X44" s="5">
        <v>1</v>
      </c>
      <c r="Y44" s="5">
        <v>2</v>
      </c>
      <c r="Z44" s="5" t="b">
        <v>1</v>
      </c>
      <c r="AA44" s="5">
        <v>4.0056599999999998</v>
      </c>
      <c r="AB44" s="5">
        <v>108.13647966870083</v>
      </c>
    </row>
    <row r="45" spans="2:28" x14ac:dyDescent="0.35">
      <c r="B45" s="5">
        <v>66</v>
      </c>
      <c r="C45" s="5">
        <v>17.001811006236352</v>
      </c>
      <c r="D45" s="5">
        <v>11.840571147788168</v>
      </c>
      <c r="E45" s="5">
        <v>9.1524789496602281</v>
      </c>
      <c r="F45" s="5">
        <v>138.05539009010175</v>
      </c>
      <c r="G45" s="5">
        <v>183.611704200791</v>
      </c>
      <c r="H45" s="5">
        <v>2.866349059897134</v>
      </c>
      <c r="I45" s="5">
        <v>1.2418601325459422</v>
      </c>
      <c r="J45" s="5">
        <v>29.92208707894148</v>
      </c>
      <c r="K45" s="5">
        <v>78.427716745240389</v>
      </c>
      <c r="L45" s="5">
        <v>6.9244932424006711</v>
      </c>
      <c r="M45" s="5" t="b">
        <v>0</v>
      </c>
      <c r="N45" s="5" t="b">
        <v>0</v>
      </c>
      <c r="O45" s="5" t="b">
        <v>0</v>
      </c>
      <c r="P45" s="5" t="b">
        <v>0</v>
      </c>
      <c r="Q45" s="5" t="b">
        <v>0</v>
      </c>
      <c r="R45" s="5" t="b">
        <v>0</v>
      </c>
      <c r="S45" s="5" t="b">
        <v>0</v>
      </c>
      <c r="T45" s="5" t="b">
        <v>0</v>
      </c>
      <c r="U45" s="5" t="b">
        <v>0</v>
      </c>
      <c r="V45" s="5" t="b">
        <v>0</v>
      </c>
      <c r="W45" s="5" t="b">
        <v>0</v>
      </c>
      <c r="X45" s="5">
        <v>0</v>
      </c>
      <c r="Y45" s="5">
        <v>2</v>
      </c>
      <c r="Z45" s="5" t="b">
        <v>0</v>
      </c>
      <c r="AA45" s="5">
        <v>3.8449378000000003</v>
      </c>
      <c r="AB45" s="5">
        <v>109.28031820623634</v>
      </c>
    </row>
    <row r="46" spans="2:28" x14ac:dyDescent="0.35">
      <c r="B46" s="5">
        <v>94</v>
      </c>
      <c r="C46" s="5">
        <v>73.006352852334373</v>
      </c>
      <c r="D46" s="5">
        <v>13.099448528881149</v>
      </c>
      <c r="E46" s="5">
        <v>11.792652325120923</v>
      </c>
      <c r="F46" s="5">
        <v>131.75837628436076</v>
      </c>
      <c r="G46" s="5">
        <v>134.37879484577434</v>
      </c>
      <c r="H46" s="5">
        <v>30.825212859906301</v>
      </c>
      <c r="I46" s="5">
        <v>1.1726646353650305</v>
      </c>
      <c r="J46" s="5">
        <v>29.939294862560189</v>
      </c>
      <c r="K46" s="5">
        <v>66.325383838777498</v>
      </c>
      <c r="L46" s="5">
        <v>6.3507065605031832</v>
      </c>
      <c r="M46" s="5" t="b">
        <v>0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b">
        <v>0</v>
      </c>
      <c r="T46" s="5" t="b">
        <v>0</v>
      </c>
      <c r="U46" s="5" t="b">
        <v>0</v>
      </c>
      <c r="V46" s="5" t="b">
        <v>0</v>
      </c>
      <c r="W46" s="5" t="b">
        <v>0</v>
      </c>
      <c r="X46" s="5">
        <v>1</v>
      </c>
      <c r="Y46" s="5">
        <v>0</v>
      </c>
      <c r="Z46" s="5" t="b">
        <v>1</v>
      </c>
      <c r="AA46" s="5">
        <v>1.5223366</v>
      </c>
      <c r="AB46" s="5">
        <v>109.54243125233438</v>
      </c>
    </row>
    <row r="47" spans="2:28" x14ac:dyDescent="0.35">
      <c r="B47" s="5">
        <v>78</v>
      </c>
      <c r="C47" s="5">
        <v>40.100875856278122</v>
      </c>
      <c r="D47" s="5">
        <v>12.281053825431252</v>
      </c>
      <c r="E47" s="5">
        <v>6.7192315033695529</v>
      </c>
      <c r="F47" s="5">
        <v>136.02515919521781</v>
      </c>
      <c r="G47" s="5">
        <v>150.99698121497315</v>
      </c>
      <c r="H47" s="5">
        <v>25.835201737859929</v>
      </c>
      <c r="I47" s="5">
        <v>0.98247624007067635</v>
      </c>
      <c r="J47" s="5">
        <v>31.400795762229137</v>
      </c>
      <c r="K47" s="5">
        <v>74.06482410263753</v>
      </c>
      <c r="L47" s="5">
        <v>6.7432670311888714</v>
      </c>
      <c r="M47" s="5" t="b">
        <v>1</v>
      </c>
      <c r="N47" s="5" t="b">
        <v>0</v>
      </c>
      <c r="O47" s="5" t="b">
        <v>0</v>
      </c>
      <c r="P47" s="5" t="b">
        <v>0</v>
      </c>
      <c r="Q47" s="5" t="b">
        <v>0</v>
      </c>
      <c r="R47" s="5" t="b">
        <v>0</v>
      </c>
      <c r="S47" s="5" t="b">
        <v>0</v>
      </c>
      <c r="T47" s="5" t="b">
        <v>0</v>
      </c>
      <c r="U47" s="5" t="b">
        <v>0</v>
      </c>
      <c r="V47" s="5" t="b">
        <v>0</v>
      </c>
      <c r="W47" s="5" t="b">
        <v>0</v>
      </c>
      <c r="X47" s="5">
        <v>2</v>
      </c>
      <c r="Y47" s="5">
        <v>0</v>
      </c>
      <c r="Z47" s="5" t="b">
        <v>0</v>
      </c>
      <c r="AA47" s="5">
        <v>2.9373019999999999</v>
      </c>
      <c r="AB47" s="5">
        <v>110.59612385627813</v>
      </c>
    </row>
    <row r="48" spans="2:28" x14ac:dyDescent="0.35">
      <c r="B48" s="5">
        <v>76</v>
      </c>
      <c r="C48" s="5">
        <v>35.49797163768897</v>
      </c>
      <c r="D48" s="5">
        <v>10.405243340133515</v>
      </c>
      <c r="E48" s="5">
        <v>7.2491643412078215</v>
      </c>
      <c r="F48" s="5">
        <v>136.30444194201044</v>
      </c>
      <c r="G48" s="5">
        <v>126.18252357888146</v>
      </c>
      <c r="H48" s="5">
        <v>1.7969727873588504</v>
      </c>
      <c r="I48" s="5">
        <v>0.86009585831619906</v>
      </c>
      <c r="J48" s="5">
        <v>28.642654971299443</v>
      </c>
      <c r="K48" s="5">
        <v>65.124498214773539</v>
      </c>
      <c r="L48" s="5">
        <v>5.9116348278455852</v>
      </c>
      <c r="M48" s="5" t="b">
        <v>1</v>
      </c>
      <c r="N48" s="5" t="b">
        <v>0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0</v>
      </c>
      <c r="W48" s="5" t="b">
        <v>0</v>
      </c>
      <c r="X48" s="5">
        <v>2</v>
      </c>
      <c r="Y48" s="5">
        <v>0</v>
      </c>
      <c r="Z48" s="5" t="b">
        <v>0</v>
      </c>
      <c r="AA48" s="5">
        <v>3.2451203</v>
      </c>
      <c r="AB48" s="5">
        <v>113.38085883768898</v>
      </c>
    </row>
    <row r="49" spans="2:59" x14ac:dyDescent="0.35">
      <c r="B49" s="5">
        <v>4</v>
      </c>
      <c r="C49" s="5">
        <v>4.3423130152080603E-4</v>
      </c>
      <c r="D49" s="5">
        <v>11.074513404973612</v>
      </c>
      <c r="E49" s="5">
        <v>4.7122172808881482</v>
      </c>
      <c r="F49" s="5">
        <v>137.9720921465512</v>
      </c>
      <c r="G49" s="5">
        <v>88.860689721824613</v>
      </c>
      <c r="H49" s="5">
        <v>34.837246937879961</v>
      </c>
      <c r="I49" s="5">
        <v>0.91370766757022803</v>
      </c>
      <c r="J49" s="5">
        <v>32.671048430507405</v>
      </c>
      <c r="K49" s="5">
        <v>89.707268496359944</v>
      </c>
      <c r="L49" s="5">
        <v>6.1769986315435954</v>
      </c>
      <c r="M49" s="5" t="b">
        <v>0</v>
      </c>
      <c r="N49" s="5" t="b">
        <v>0</v>
      </c>
      <c r="O49" s="5" t="b">
        <v>0</v>
      </c>
      <c r="P49" s="5" t="b">
        <v>0</v>
      </c>
      <c r="Q49" s="5" t="b">
        <v>0</v>
      </c>
      <c r="R49" s="5" t="b">
        <v>1</v>
      </c>
      <c r="S49" s="5" t="b">
        <v>0</v>
      </c>
      <c r="T49" s="5" t="b">
        <v>0</v>
      </c>
      <c r="U49" s="5" t="b">
        <v>0</v>
      </c>
      <c r="V49" s="5" t="b">
        <v>0</v>
      </c>
      <c r="W49" s="5" t="b">
        <v>0</v>
      </c>
      <c r="X49" s="5">
        <v>0</v>
      </c>
      <c r="Y49" s="5">
        <v>0</v>
      </c>
      <c r="Z49" s="5" t="b">
        <v>1</v>
      </c>
      <c r="AA49" s="5">
        <v>4.8148520000000001</v>
      </c>
      <c r="AB49" s="5">
        <v>115.55688223130154</v>
      </c>
    </row>
    <row r="50" spans="2:59" x14ac:dyDescent="0.35">
      <c r="B50" s="5">
        <v>106</v>
      </c>
      <c r="C50" s="5">
        <v>92.285445935312595</v>
      </c>
      <c r="D50" s="5">
        <v>12.498978635255602</v>
      </c>
      <c r="E50" s="5">
        <v>12.921756828298305</v>
      </c>
      <c r="F50" s="5">
        <v>136.22763629276872</v>
      </c>
      <c r="G50" s="5">
        <v>146.33926379177015</v>
      </c>
      <c r="H50" s="5">
        <v>25.585524947948819</v>
      </c>
      <c r="I50" s="5">
        <v>1.2848125553381518</v>
      </c>
      <c r="J50" s="5">
        <v>31.57417636083817</v>
      </c>
      <c r="K50" s="5">
        <v>61.532214117765797</v>
      </c>
      <c r="L50" s="5">
        <v>6.9896598793150133</v>
      </c>
      <c r="M50" s="5" t="b">
        <v>0</v>
      </c>
      <c r="N50" s="5" t="b">
        <v>0</v>
      </c>
      <c r="O50" s="5" t="b">
        <v>0</v>
      </c>
      <c r="P50" s="5" t="b">
        <v>0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  <c r="V50" s="5" t="b">
        <v>0</v>
      </c>
      <c r="W50" s="5" t="b">
        <v>0</v>
      </c>
      <c r="X50" s="5">
        <v>1</v>
      </c>
      <c r="Y50" s="5">
        <v>0</v>
      </c>
      <c r="Z50" s="5" t="b">
        <v>0</v>
      </c>
      <c r="AA50" s="5">
        <v>0.99473009999999995</v>
      </c>
      <c r="AB50" s="5">
        <v>116.15896833531259</v>
      </c>
    </row>
    <row r="51" spans="2:59" x14ac:dyDescent="0.35">
      <c r="B51" s="5">
        <v>81</v>
      </c>
      <c r="C51" s="5">
        <v>47.158362421890764</v>
      </c>
      <c r="D51" s="5">
        <v>10.8041374337968</v>
      </c>
      <c r="E51" s="5">
        <v>3.1954541412940953</v>
      </c>
      <c r="F51" s="5">
        <v>143.95691067759725</v>
      </c>
      <c r="G51" s="5">
        <v>112.27547831196797</v>
      </c>
      <c r="H51" s="5">
        <v>29.312394940971437</v>
      </c>
      <c r="I51" s="5">
        <v>1.0978271680301714</v>
      </c>
      <c r="J51" s="5">
        <v>30.292302178002522</v>
      </c>
      <c r="K51" s="5">
        <v>54.999377982788133</v>
      </c>
      <c r="L51" s="5">
        <v>6.9152708126854767</v>
      </c>
      <c r="M51" s="5" t="b">
        <v>0</v>
      </c>
      <c r="N51" s="5" t="b">
        <v>0</v>
      </c>
      <c r="O51" s="5" t="b">
        <v>0</v>
      </c>
      <c r="P51" s="5" t="b">
        <v>0</v>
      </c>
      <c r="Q51" s="5" t="b">
        <v>0</v>
      </c>
      <c r="R51" s="5" t="b">
        <v>0</v>
      </c>
      <c r="S51" s="5" t="b">
        <v>0</v>
      </c>
      <c r="T51" s="5" t="b">
        <v>0</v>
      </c>
      <c r="U51" s="5" t="b">
        <v>0</v>
      </c>
      <c r="V51" s="5" t="b">
        <v>0</v>
      </c>
      <c r="W51" s="5" t="b">
        <v>0</v>
      </c>
      <c r="X51" s="5">
        <v>1</v>
      </c>
      <c r="Y51" s="5">
        <v>0</v>
      </c>
      <c r="Z51" s="5" t="b">
        <v>1</v>
      </c>
      <c r="AA51" s="5">
        <v>3.0060756</v>
      </c>
      <c r="AB51" s="5">
        <v>119.30417682189076</v>
      </c>
    </row>
    <row r="52" spans="2:59" x14ac:dyDescent="0.35">
      <c r="B52" s="5">
        <v>60</v>
      </c>
      <c r="C52" s="5">
        <v>17.000890538337934</v>
      </c>
      <c r="D52" s="5">
        <v>11.369256784735398</v>
      </c>
      <c r="E52" s="5">
        <v>20.749271264500379</v>
      </c>
      <c r="F52" s="5">
        <v>140.05315510020071</v>
      </c>
      <c r="G52" s="5">
        <v>113.87013978339073</v>
      </c>
      <c r="H52" s="5">
        <v>14.257688495693339</v>
      </c>
      <c r="I52" s="5">
        <v>1.2407650247007007</v>
      </c>
      <c r="J52" s="5">
        <v>30.566039722574626</v>
      </c>
      <c r="K52" s="5">
        <v>87.430852316114027</v>
      </c>
      <c r="L52" s="5">
        <v>8.1742483930208856</v>
      </c>
      <c r="M52" s="5" t="b">
        <v>0</v>
      </c>
      <c r="N52" s="5" t="b">
        <v>0</v>
      </c>
      <c r="O52" s="5" t="b">
        <v>0</v>
      </c>
      <c r="P52" s="5" t="b">
        <v>1</v>
      </c>
      <c r="Q52" s="5" t="b">
        <v>0</v>
      </c>
      <c r="R52" s="5" t="b">
        <v>1</v>
      </c>
      <c r="S52" s="5" t="b">
        <v>0</v>
      </c>
      <c r="T52" s="5" t="b">
        <v>0</v>
      </c>
      <c r="U52" s="5" t="b">
        <v>0</v>
      </c>
      <c r="V52" s="5" t="b">
        <v>0</v>
      </c>
      <c r="W52" s="5" t="b">
        <v>0</v>
      </c>
      <c r="X52" s="5">
        <v>1</v>
      </c>
      <c r="Y52" s="5">
        <v>0</v>
      </c>
      <c r="Z52" s="5" t="b">
        <v>0</v>
      </c>
      <c r="AA52" s="5">
        <v>4.2730649999999999</v>
      </c>
      <c r="AB52" s="5">
        <v>119.55445053833793</v>
      </c>
    </row>
    <row r="53" spans="2:59" x14ac:dyDescent="0.35">
      <c r="B53" s="5">
        <v>24</v>
      </c>
      <c r="C53" s="5">
        <v>12.000747755723735</v>
      </c>
      <c r="D53" s="5">
        <v>10.145479465725455</v>
      </c>
      <c r="E53" s="5">
        <v>11.483992241385678</v>
      </c>
      <c r="F53" s="5">
        <v>138.75380336698402</v>
      </c>
      <c r="G53" s="5">
        <v>114.69805422535417</v>
      </c>
      <c r="H53" s="5">
        <v>21.361089502976967</v>
      </c>
      <c r="I53" s="5">
        <v>1.080022924666544</v>
      </c>
      <c r="J53" s="5">
        <v>31.978612174029845</v>
      </c>
      <c r="K53" s="5">
        <v>91.170138495844483</v>
      </c>
      <c r="L53" s="5">
        <v>6.3754508087881385</v>
      </c>
      <c r="M53" s="5" t="b">
        <v>0</v>
      </c>
      <c r="N53" s="5" t="b">
        <v>0</v>
      </c>
      <c r="O53" s="5" t="b">
        <v>0</v>
      </c>
      <c r="P53" s="5" t="b">
        <v>0</v>
      </c>
      <c r="Q53" s="5" t="b">
        <v>0</v>
      </c>
      <c r="R53" s="5" t="b">
        <v>1</v>
      </c>
      <c r="S53" s="5" t="b">
        <v>0</v>
      </c>
      <c r="T53" s="5" t="b">
        <v>0</v>
      </c>
      <c r="U53" s="5" t="b">
        <v>0</v>
      </c>
      <c r="V53" s="5" t="b">
        <v>0</v>
      </c>
      <c r="W53" s="5" t="b">
        <v>0</v>
      </c>
      <c r="X53" s="5">
        <v>1</v>
      </c>
      <c r="Y53" s="5">
        <v>1</v>
      </c>
      <c r="Z53" s="5" t="b">
        <v>1</v>
      </c>
      <c r="AA53" s="5">
        <v>4.4945760000000003</v>
      </c>
      <c r="AB53" s="5">
        <v>119.87057175572376</v>
      </c>
    </row>
    <row r="54" spans="2:59" x14ac:dyDescent="0.35">
      <c r="B54" s="5">
        <v>26</v>
      </c>
      <c r="C54" s="5">
        <v>12.000552960236048</v>
      </c>
      <c r="D54" s="5">
        <v>10.700880184821486</v>
      </c>
      <c r="E54" s="5">
        <v>9.4649781264180035</v>
      </c>
      <c r="F54" s="5">
        <v>137.56013805918175</v>
      </c>
      <c r="G54" s="5">
        <v>167.89110139919561</v>
      </c>
      <c r="H54" s="5">
        <v>15.871117485007547</v>
      </c>
      <c r="I54" s="5">
        <v>1.1672621012452717</v>
      </c>
      <c r="J54" s="5">
        <v>32.209121557075662</v>
      </c>
      <c r="K54" s="5">
        <v>84.936585168115201</v>
      </c>
      <c r="L54" s="5">
        <v>7.3876463850152669</v>
      </c>
      <c r="M54" s="5" t="b">
        <v>0</v>
      </c>
      <c r="N54" s="5" t="b">
        <v>0</v>
      </c>
      <c r="O54" s="5" t="b">
        <v>0</v>
      </c>
      <c r="P54" s="5" t="b">
        <v>0</v>
      </c>
      <c r="Q54" s="5" t="b">
        <v>0</v>
      </c>
      <c r="R54" s="5" t="b">
        <v>0</v>
      </c>
      <c r="S54" s="5" t="b">
        <v>0</v>
      </c>
      <c r="T54" s="5" t="b">
        <v>1</v>
      </c>
      <c r="U54" s="5" t="b">
        <v>0</v>
      </c>
      <c r="V54" s="5" t="b">
        <v>0</v>
      </c>
      <c r="W54" s="5" t="b">
        <v>0</v>
      </c>
      <c r="X54" s="5">
        <v>1</v>
      </c>
      <c r="Y54" s="5">
        <v>1</v>
      </c>
      <c r="Z54" s="5" t="b">
        <v>0</v>
      </c>
      <c r="AA54" s="5">
        <v>4.5120925999999999</v>
      </c>
      <c r="AB54" s="5">
        <v>120.29077536023604</v>
      </c>
    </row>
    <row r="55" spans="2:59" x14ac:dyDescent="0.35">
      <c r="B55" s="5">
        <v>67</v>
      </c>
      <c r="C55" s="5">
        <v>17.001866679578225</v>
      </c>
      <c r="D55" s="5">
        <v>15.437940849814854</v>
      </c>
      <c r="E55" s="5">
        <v>6.9223208881594864</v>
      </c>
      <c r="F55" s="5">
        <v>132.11447226659129</v>
      </c>
      <c r="G55" s="5">
        <v>112.07089633855367</v>
      </c>
      <c r="H55" s="5">
        <v>7.0085933171358352</v>
      </c>
      <c r="I55" s="5">
        <v>0.8779927320944787</v>
      </c>
      <c r="J55" s="5">
        <v>30.022514902609188</v>
      </c>
      <c r="K55" s="5">
        <v>62.608550268139972</v>
      </c>
      <c r="L55" s="5">
        <v>7.508564776411113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1</v>
      </c>
      <c r="R55" s="5" t="b">
        <v>0</v>
      </c>
      <c r="S55" s="5" t="b">
        <v>0</v>
      </c>
      <c r="T55" s="5" t="b">
        <v>0</v>
      </c>
      <c r="U55" s="5" t="b">
        <v>0</v>
      </c>
      <c r="V55" s="5" t="b">
        <v>0</v>
      </c>
      <c r="W55" s="5" t="b">
        <v>0</v>
      </c>
      <c r="X55" s="5">
        <v>2</v>
      </c>
      <c r="Y55" s="5">
        <v>0</v>
      </c>
      <c r="Z55" s="5" t="b">
        <v>1</v>
      </c>
      <c r="AA55" s="5">
        <v>4.3196789999999998</v>
      </c>
      <c r="AB55" s="5">
        <v>120.67416267957822</v>
      </c>
    </row>
    <row r="56" spans="2:59" x14ac:dyDescent="0.35">
      <c r="B56" s="5">
        <v>61</v>
      </c>
      <c r="C56" s="5">
        <v>17.00103079842189</v>
      </c>
      <c r="D56" s="5">
        <v>13.626350773252051</v>
      </c>
      <c r="E56" s="5">
        <v>8.2759319345994911</v>
      </c>
      <c r="F56" s="5">
        <v>139.66831879205219</v>
      </c>
      <c r="G56" s="5">
        <v>133.00087751249492</v>
      </c>
      <c r="H56" s="5">
        <v>19.251643075423491</v>
      </c>
      <c r="I56" s="5">
        <v>0.85554276633173376</v>
      </c>
      <c r="J56" s="5">
        <v>32.599839522853479</v>
      </c>
      <c r="K56" s="5">
        <v>72.223141220652963</v>
      </c>
      <c r="L56" s="5">
        <v>6.2597214064475466</v>
      </c>
      <c r="M56" s="5" t="b">
        <v>0</v>
      </c>
      <c r="N56" s="5" t="b">
        <v>0</v>
      </c>
      <c r="O56" s="5" t="b">
        <v>0</v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1</v>
      </c>
      <c r="U56" s="5" t="b">
        <v>0</v>
      </c>
      <c r="V56" s="5" t="b">
        <v>0</v>
      </c>
      <c r="W56" s="5" t="b">
        <v>0</v>
      </c>
      <c r="X56" s="5">
        <v>2</v>
      </c>
      <c r="Y56" s="5">
        <v>1</v>
      </c>
      <c r="Z56" s="5" t="b">
        <v>1</v>
      </c>
      <c r="AA56" s="5">
        <v>4.377148</v>
      </c>
      <c r="AB56" s="5">
        <v>122.05258279842189</v>
      </c>
    </row>
    <row r="57" spans="2:59" x14ac:dyDescent="0.35">
      <c r="B57" s="5">
        <v>83</v>
      </c>
      <c r="C57" s="5">
        <v>53.172445905305501</v>
      </c>
      <c r="D57" s="5">
        <v>13.280021342115445</v>
      </c>
      <c r="E57" s="5">
        <v>5.9573663306719453</v>
      </c>
      <c r="F57" s="5">
        <v>140.00197783849887</v>
      </c>
      <c r="G57" s="5">
        <v>131.39085724840197</v>
      </c>
      <c r="H57" s="5">
        <v>13.055446323301631</v>
      </c>
      <c r="I57" s="5">
        <v>1.0693983142307655</v>
      </c>
      <c r="J57" s="5">
        <v>28.97756125121445</v>
      </c>
      <c r="K57" s="5">
        <v>79.354751235043182</v>
      </c>
      <c r="L57" s="5">
        <v>6.646934881649937</v>
      </c>
      <c r="M57" s="5" t="b">
        <v>0</v>
      </c>
      <c r="N57" s="5" t="b">
        <v>0</v>
      </c>
      <c r="O57" s="5" t="b">
        <v>0</v>
      </c>
      <c r="P57" s="5" t="b">
        <v>0</v>
      </c>
      <c r="Q57" s="5" t="b">
        <v>0</v>
      </c>
      <c r="R57" s="5" t="b">
        <v>1</v>
      </c>
      <c r="S57" s="5" t="b">
        <v>0</v>
      </c>
      <c r="T57" s="5" t="b">
        <v>0</v>
      </c>
      <c r="U57" s="5" t="b">
        <v>0</v>
      </c>
      <c r="V57" s="5" t="b">
        <v>1</v>
      </c>
      <c r="W57" s="5" t="b">
        <v>0</v>
      </c>
      <c r="X57" s="5">
        <v>3</v>
      </c>
      <c r="Y57" s="5">
        <v>0</v>
      </c>
      <c r="Z57" s="5" t="b">
        <v>0</v>
      </c>
      <c r="AA57" s="5">
        <v>2.8736818</v>
      </c>
      <c r="AB57" s="5">
        <v>122.14080910530549</v>
      </c>
    </row>
    <row r="58" spans="2:59" x14ac:dyDescent="0.35">
      <c r="B58" s="5">
        <v>41</v>
      </c>
      <c r="C58" s="5">
        <v>12.002244503464929</v>
      </c>
      <c r="D58" s="5">
        <v>11.210998405807612</v>
      </c>
      <c r="E58" s="5">
        <v>12.880225652465208</v>
      </c>
      <c r="F58" s="5">
        <v>141.4972121177866</v>
      </c>
      <c r="G58" s="5">
        <v>165.10055136558924</v>
      </c>
      <c r="H58" s="5">
        <v>13.289671161759339</v>
      </c>
      <c r="I58" s="5">
        <v>1.148153306845481</v>
      </c>
      <c r="J58" s="5">
        <v>29.489650061063141</v>
      </c>
      <c r="K58" s="5">
        <v>73.14562919720197</v>
      </c>
      <c r="L58" s="5">
        <v>7.4371522536283967</v>
      </c>
      <c r="M58" s="5" t="b">
        <v>0</v>
      </c>
      <c r="N58" s="5" t="b">
        <v>0</v>
      </c>
      <c r="O58" s="5" t="b">
        <v>0</v>
      </c>
      <c r="P58" s="5" t="b">
        <v>0</v>
      </c>
      <c r="Q58" s="5" t="b">
        <v>0</v>
      </c>
      <c r="R58" s="5" t="b">
        <v>1</v>
      </c>
      <c r="S58" s="5" t="b">
        <v>0</v>
      </c>
      <c r="T58" s="5" t="b">
        <v>0</v>
      </c>
      <c r="U58" s="5" t="b">
        <v>0</v>
      </c>
      <c r="V58" s="5" t="b">
        <v>0</v>
      </c>
      <c r="W58" s="5" t="b">
        <v>0</v>
      </c>
      <c r="X58" s="5">
        <v>1</v>
      </c>
      <c r="Y58" s="5">
        <v>1</v>
      </c>
      <c r="Z58" s="5" t="b">
        <v>0</v>
      </c>
      <c r="AA58" s="5">
        <v>4.6225839999999998</v>
      </c>
      <c r="AB58" s="5">
        <v>122.94426050346493</v>
      </c>
    </row>
    <row r="59" spans="2:59" x14ac:dyDescent="0.35">
      <c r="B59" s="5">
        <v>14</v>
      </c>
      <c r="C59" s="5">
        <v>6.0008356483798595</v>
      </c>
      <c r="D59" s="5">
        <v>12.217854501403323</v>
      </c>
      <c r="E59" s="5">
        <v>5.8687935700997595</v>
      </c>
      <c r="F59" s="5">
        <v>141.15326157721697</v>
      </c>
      <c r="G59" s="5">
        <v>160.69857566943944</v>
      </c>
      <c r="H59" s="5">
        <v>11.44172742896345</v>
      </c>
      <c r="I59" s="5">
        <v>1.2298590312480642</v>
      </c>
      <c r="J59" s="5">
        <v>32.100829746772057</v>
      </c>
      <c r="K59" s="5">
        <v>83.881780880353489</v>
      </c>
      <c r="L59" s="5">
        <v>6.2246142794674828</v>
      </c>
      <c r="M59" s="5" t="b">
        <v>0</v>
      </c>
      <c r="N59" s="5" t="b">
        <v>0</v>
      </c>
      <c r="O59" s="5" t="b">
        <v>0</v>
      </c>
      <c r="P59" s="5" t="b">
        <v>0</v>
      </c>
      <c r="Q59" s="5" t="b">
        <v>0</v>
      </c>
      <c r="R59" s="5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5" t="b">
        <v>0</v>
      </c>
      <c r="X59" s="5">
        <v>0</v>
      </c>
      <c r="Y59" s="5">
        <v>3</v>
      </c>
      <c r="Z59" s="5" t="b">
        <v>1</v>
      </c>
      <c r="AA59" s="5">
        <v>4.8944334999999999</v>
      </c>
      <c r="AB59" s="5">
        <v>123.46723964837985</v>
      </c>
    </row>
    <row r="60" spans="2:59" x14ac:dyDescent="0.35">
      <c r="B60" s="5">
        <v>22</v>
      </c>
      <c r="C60" s="5">
        <v>6.0018569016072139</v>
      </c>
      <c r="D60" s="5">
        <v>12.894515225944541</v>
      </c>
      <c r="E60" s="5">
        <v>15.265894103350117</v>
      </c>
      <c r="F60" s="5">
        <v>140.94226773678866</v>
      </c>
      <c r="G60" s="5">
        <v>168.49309269082337</v>
      </c>
      <c r="H60" s="5">
        <v>20.570014101853932</v>
      </c>
      <c r="I60" s="5">
        <v>1.2543102722814621</v>
      </c>
      <c r="J60" s="5">
        <v>28.414653418897718</v>
      </c>
      <c r="K60" s="5">
        <v>60.334644832307262</v>
      </c>
      <c r="L60" s="5">
        <v>6.4877463750225477</v>
      </c>
      <c r="M60" s="5" t="b">
        <v>0</v>
      </c>
      <c r="N60" s="5" t="b">
        <v>0</v>
      </c>
      <c r="O60" s="5" t="b">
        <v>0</v>
      </c>
      <c r="P60" s="5" t="b">
        <v>0</v>
      </c>
      <c r="Q60" s="5" t="b">
        <v>0</v>
      </c>
      <c r="R60" s="5" t="b">
        <v>1</v>
      </c>
      <c r="S60" s="5" t="b">
        <v>0</v>
      </c>
      <c r="T60" s="5" t="b">
        <v>0</v>
      </c>
      <c r="U60" s="5" t="b">
        <v>0</v>
      </c>
      <c r="V60" s="5" t="b">
        <v>0</v>
      </c>
      <c r="W60" s="5" t="b">
        <v>0</v>
      </c>
      <c r="X60" s="5">
        <v>1</v>
      </c>
      <c r="Y60" s="5">
        <v>2</v>
      </c>
      <c r="Z60" s="5" t="b">
        <v>1</v>
      </c>
      <c r="AA60" s="5">
        <v>4.8966390000000004</v>
      </c>
      <c r="AB60" s="5">
        <v>123.52119290160722</v>
      </c>
    </row>
    <row r="61" spans="2:59" x14ac:dyDescent="0.35">
      <c r="B61" s="5">
        <v>96</v>
      </c>
      <c r="C61" s="5">
        <v>74.756871813081148</v>
      </c>
      <c r="D61" s="5">
        <v>13.162226073490052</v>
      </c>
      <c r="E61" s="5">
        <v>3.79546726403618</v>
      </c>
      <c r="F61" s="5">
        <v>136.83587807955405</v>
      </c>
      <c r="G61" s="5">
        <v>122.60408570847024</v>
      </c>
      <c r="H61" s="5">
        <v>1.6518517426572181</v>
      </c>
      <c r="I61" s="5">
        <v>0.94037043537791343</v>
      </c>
      <c r="J61" s="5">
        <v>29.924579399628591</v>
      </c>
      <c r="K61" s="5">
        <v>71.657945822236229</v>
      </c>
      <c r="L61" s="5">
        <v>6.7203877122264544</v>
      </c>
      <c r="M61" s="5" t="b">
        <v>0</v>
      </c>
      <c r="N61" s="5" t="b">
        <v>0</v>
      </c>
      <c r="O61" s="5" t="b">
        <v>0</v>
      </c>
      <c r="P61" s="5" t="b">
        <v>0</v>
      </c>
      <c r="Q61" s="5" t="b">
        <v>0</v>
      </c>
      <c r="R61" s="5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5" t="b">
        <v>0</v>
      </c>
      <c r="X61" s="5">
        <v>1</v>
      </c>
      <c r="Y61" s="5">
        <v>1</v>
      </c>
      <c r="Z61" s="5" t="b">
        <v>1</v>
      </c>
      <c r="AA61" s="5">
        <v>2.0443354</v>
      </c>
      <c r="AB61" s="5">
        <v>123.82092141308115</v>
      </c>
    </row>
    <row r="62" spans="2:59" x14ac:dyDescent="0.35">
      <c r="B62" s="5">
        <v>87</v>
      </c>
      <c r="C62" s="5">
        <v>58.321920291809768</v>
      </c>
      <c r="D62" s="5">
        <v>11.570413163491896</v>
      </c>
      <c r="E62" s="5">
        <v>4.0590415607592796</v>
      </c>
      <c r="F62" s="5">
        <v>143.98464520561436</v>
      </c>
      <c r="G62" s="5">
        <v>179.49466324176592</v>
      </c>
      <c r="H62" s="5">
        <v>8.5576118079164551</v>
      </c>
      <c r="I62" s="5">
        <v>1.2351866273317087</v>
      </c>
      <c r="J62" s="5">
        <v>31.15081868562001</v>
      </c>
      <c r="K62" s="5">
        <v>82.430242320149645</v>
      </c>
      <c r="L62" s="5">
        <v>6.0867433857518627</v>
      </c>
      <c r="M62" s="5" t="b">
        <v>0</v>
      </c>
      <c r="N62" s="5" t="b">
        <v>0</v>
      </c>
      <c r="O62" s="5" t="b">
        <v>0</v>
      </c>
      <c r="P62" s="5" t="b">
        <v>0</v>
      </c>
      <c r="Q62" s="5" t="b">
        <v>0</v>
      </c>
      <c r="R62" s="5" t="b">
        <v>0</v>
      </c>
      <c r="S62" s="5" t="b">
        <v>0</v>
      </c>
      <c r="T62" s="5" t="b">
        <v>0</v>
      </c>
      <c r="U62" s="5" t="b">
        <v>0</v>
      </c>
      <c r="V62" s="5" t="b">
        <v>0</v>
      </c>
      <c r="W62" s="5" t="b">
        <v>0</v>
      </c>
      <c r="X62" s="5">
        <v>2</v>
      </c>
      <c r="Y62" s="5">
        <v>1</v>
      </c>
      <c r="Z62" s="5" t="b">
        <v>1</v>
      </c>
      <c r="AA62" s="5">
        <v>2.7454016000000001</v>
      </c>
      <c r="AB62" s="5">
        <v>124.21155869180976</v>
      </c>
    </row>
    <row r="63" spans="2:59" x14ac:dyDescent="0.35">
      <c r="B63" s="5">
        <v>59</v>
      </c>
      <c r="C63" s="5">
        <v>17.000794221689453</v>
      </c>
      <c r="D63" s="5">
        <v>11.41630380341779</v>
      </c>
      <c r="E63" s="5">
        <v>17.714015617160136</v>
      </c>
      <c r="F63" s="5">
        <v>132.56895180136931</v>
      </c>
      <c r="G63" s="5">
        <v>148.2217325134103</v>
      </c>
      <c r="H63" s="5">
        <v>13.33656582759302</v>
      </c>
      <c r="I63" s="5">
        <v>1.2777710860365534</v>
      </c>
      <c r="J63" s="5">
        <v>28.43217578178189</v>
      </c>
      <c r="K63" s="5">
        <v>69.256075397700826</v>
      </c>
      <c r="L63" s="5">
        <v>6.1229586088311727</v>
      </c>
      <c r="M63" s="5" t="b">
        <v>0</v>
      </c>
      <c r="N63" s="5" t="b">
        <v>0</v>
      </c>
      <c r="O63" s="5" t="b">
        <v>0</v>
      </c>
      <c r="P63" s="5" t="b">
        <v>0</v>
      </c>
      <c r="Q63" s="5" t="b">
        <v>0</v>
      </c>
      <c r="R63" s="5" t="b">
        <v>0</v>
      </c>
      <c r="S63" s="5" t="b">
        <v>0</v>
      </c>
      <c r="T63" s="5" t="b">
        <v>0</v>
      </c>
      <c r="U63" s="5" t="b">
        <v>0</v>
      </c>
      <c r="V63" s="5" t="b">
        <v>0</v>
      </c>
      <c r="W63" s="5" t="b">
        <v>0</v>
      </c>
      <c r="X63" s="5">
        <v>3</v>
      </c>
      <c r="Y63" s="5">
        <v>2</v>
      </c>
      <c r="Z63" s="5" t="b">
        <v>1</v>
      </c>
      <c r="AA63" s="5">
        <v>4.5701437</v>
      </c>
      <c r="AB63" s="5">
        <v>126.68424302168944</v>
      </c>
      <c r="BG63">
        <v>3</v>
      </c>
    </row>
    <row r="64" spans="2:59" x14ac:dyDescent="0.35">
      <c r="B64" s="5">
        <v>55</v>
      </c>
      <c r="C64" s="5">
        <v>17.00037519266953</v>
      </c>
      <c r="D64" s="5">
        <v>12.945400506307294</v>
      </c>
      <c r="E64" s="5">
        <v>13.85254804328021</v>
      </c>
      <c r="F64" s="5">
        <v>144.02711152145923</v>
      </c>
      <c r="G64" s="5">
        <v>156.93926594065854</v>
      </c>
      <c r="H64" s="5">
        <v>30.601783780536465</v>
      </c>
      <c r="I64" s="5">
        <v>1.1210553415915614</v>
      </c>
      <c r="J64" s="5">
        <v>30.316388224260319</v>
      </c>
      <c r="K64" s="5">
        <v>88.924232649018649</v>
      </c>
      <c r="L64" s="5">
        <v>6.6109688603895549</v>
      </c>
      <c r="M64" s="5" t="b">
        <v>0</v>
      </c>
      <c r="N64" s="5" t="b">
        <v>0</v>
      </c>
      <c r="O64" s="5" t="b">
        <v>0</v>
      </c>
      <c r="P64" s="5" t="b">
        <v>0</v>
      </c>
      <c r="Q64" s="5" t="b">
        <v>0</v>
      </c>
      <c r="R64" s="5" t="b">
        <v>0</v>
      </c>
      <c r="S64" s="5" t="b">
        <v>1</v>
      </c>
      <c r="T64" s="5" t="b">
        <v>0</v>
      </c>
      <c r="U64" s="5" t="b">
        <v>0</v>
      </c>
      <c r="V64" s="5" t="b">
        <v>0</v>
      </c>
      <c r="W64" s="5" t="b">
        <v>0</v>
      </c>
      <c r="X64" s="5">
        <v>1</v>
      </c>
      <c r="Y64" s="5">
        <v>0</v>
      </c>
      <c r="Z64" s="5" t="b">
        <v>0</v>
      </c>
      <c r="AA64" s="5">
        <v>4.6103579999999997</v>
      </c>
      <c r="AB64" s="5">
        <v>127.64896719266952</v>
      </c>
    </row>
    <row r="65" spans="2:28" x14ac:dyDescent="0.35">
      <c r="B65" s="5">
        <v>58</v>
      </c>
      <c r="C65" s="5">
        <v>17.000625514946371</v>
      </c>
      <c r="D65" s="5">
        <v>12.20312651957069</v>
      </c>
      <c r="E65" s="5">
        <v>14.227225770969216</v>
      </c>
      <c r="F65" s="5">
        <v>133.5274596513153</v>
      </c>
      <c r="G65" s="5">
        <v>139.97960999700584</v>
      </c>
      <c r="H65" s="5">
        <v>44.749082155363219</v>
      </c>
      <c r="I65" s="5">
        <v>0.82936311505603189</v>
      </c>
      <c r="J65" s="5">
        <v>31.201129985042737</v>
      </c>
      <c r="K65" s="5">
        <v>76.552630612180252</v>
      </c>
      <c r="L65" s="5">
        <v>7.1008105947755435</v>
      </c>
      <c r="M65" s="5" t="b">
        <v>0</v>
      </c>
      <c r="N65" s="5" t="b">
        <v>0</v>
      </c>
      <c r="O65" s="5" t="b">
        <v>0</v>
      </c>
      <c r="P65" s="5" t="b">
        <v>0</v>
      </c>
      <c r="Q65" s="5" t="b">
        <v>0</v>
      </c>
      <c r="R65" s="5" t="b">
        <v>1</v>
      </c>
      <c r="S65" s="5" t="b">
        <v>1</v>
      </c>
      <c r="T65" s="5" t="b">
        <v>0</v>
      </c>
      <c r="U65" s="5" t="b">
        <v>0</v>
      </c>
      <c r="V65" s="5" t="b">
        <v>0</v>
      </c>
      <c r="W65" s="5" t="b">
        <v>0</v>
      </c>
      <c r="X65" s="5">
        <v>1</v>
      </c>
      <c r="Y65" s="5">
        <v>0</v>
      </c>
      <c r="Z65" s="5" t="b">
        <v>1</v>
      </c>
      <c r="AA65" s="5">
        <v>4.6143764999999997</v>
      </c>
      <c r="AB65" s="5">
        <v>127.74566151494636</v>
      </c>
    </row>
    <row r="66" spans="2:28" x14ac:dyDescent="0.35">
      <c r="B66" s="5">
        <v>44</v>
      </c>
      <c r="C66" s="5">
        <v>12.002605849164539</v>
      </c>
      <c r="D66" s="5">
        <v>11.525851445677885</v>
      </c>
      <c r="E66" s="5">
        <v>7.8698493833752456</v>
      </c>
      <c r="F66" s="5">
        <v>135.10380441391675</v>
      </c>
      <c r="G66" s="5">
        <v>90.652356782620501</v>
      </c>
      <c r="H66" s="5">
        <v>30.664870185718655</v>
      </c>
      <c r="I66" s="5">
        <v>1.1770084312716587</v>
      </c>
      <c r="J66" s="5">
        <v>26.997946343854185</v>
      </c>
      <c r="K66" s="5">
        <v>100.3776470308629</v>
      </c>
      <c r="L66" s="5">
        <v>7.0849729329472115</v>
      </c>
      <c r="M66" s="5" t="b">
        <v>0</v>
      </c>
      <c r="N66" s="5" t="b">
        <v>0</v>
      </c>
      <c r="O66" s="5" t="b">
        <v>0</v>
      </c>
      <c r="P66" s="5" t="b">
        <v>0</v>
      </c>
      <c r="Q66" s="5" t="b">
        <v>0</v>
      </c>
      <c r="R66" s="5" t="b">
        <v>1</v>
      </c>
      <c r="S66" s="5" t="b">
        <v>0</v>
      </c>
      <c r="T66" s="5" t="b">
        <v>0</v>
      </c>
      <c r="U66" s="5" t="b">
        <v>0</v>
      </c>
      <c r="V66" s="5" t="b">
        <v>0</v>
      </c>
      <c r="W66" s="5" t="b">
        <v>0</v>
      </c>
      <c r="X66" s="5">
        <v>1</v>
      </c>
      <c r="Y66" s="5">
        <v>0</v>
      </c>
      <c r="Z66" s="5" t="b">
        <v>0</v>
      </c>
      <c r="AA66" s="5">
        <v>4.8507423000000003</v>
      </c>
      <c r="AB66" s="5">
        <v>128.42042104916453</v>
      </c>
    </row>
    <row r="67" spans="2:28" x14ac:dyDescent="0.35">
      <c r="B67" s="5">
        <v>71</v>
      </c>
      <c r="C67" s="5">
        <v>25.824068144180703</v>
      </c>
      <c r="D67" s="5">
        <v>11.785305399654936</v>
      </c>
      <c r="E67" s="5">
        <v>11.628031755393689</v>
      </c>
      <c r="F67" s="5">
        <v>135.16206986220578</v>
      </c>
      <c r="G67" s="5">
        <v>193.38976902763326</v>
      </c>
      <c r="H67" s="5">
        <v>18.954549566273108</v>
      </c>
      <c r="I67" s="5">
        <v>1.0410995353505674</v>
      </c>
      <c r="J67" s="5">
        <v>29.054196194825575</v>
      </c>
      <c r="K67" s="5">
        <v>69.092501588053437</v>
      </c>
      <c r="L67" s="5">
        <v>5.829904774077427</v>
      </c>
      <c r="M67" s="5" t="b">
        <v>1</v>
      </c>
      <c r="N67" s="5" t="b">
        <v>0</v>
      </c>
      <c r="O67" s="5" t="b">
        <v>0</v>
      </c>
      <c r="P67" s="5" t="b">
        <v>0</v>
      </c>
      <c r="Q67" s="5" t="b">
        <v>0</v>
      </c>
      <c r="R67" s="5" t="b">
        <v>1</v>
      </c>
      <c r="S67" s="5" t="b">
        <v>0</v>
      </c>
      <c r="T67" s="5" t="b">
        <v>0</v>
      </c>
      <c r="U67" s="5" t="b">
        <v>0</v>
      </c>
      <c r="V67" s="5" t="b">
        <v>0</v>
      </c>
      <c r="W67" s="5" t="b">
        <v>0</v>
      </c>
      <c r="X67" s="5">
        <v>1</v>
      </c>
      <c r="Y67" s="5">
        <v>1</v>
      </c>
      <c r="Z67" s="5" t="b">
        <v>0</v>
      </c>
      <c r="AA67" s="5">
        <v>4.3101950000000002</v>
      </c>
      <c r="AB67" s="5">
        <v>129.26874814418071</v>
      </c>
    </row>
    <row r="68" spans="2:28" x14ac:dyDescent="0.35">
      <c r="B68" s="5">
        <v>117</v>
      </c>
      <c r="C68" s="5">
        <v>110.59612385627813</v>
      </c>
      <c r="D68" s="5">
        <v>10.741031064788789</v>
      </c>
      <c r="E68" s="5">
        <v>5.1612404869299437</v>
      </c>
      <c r="F68" s="5">
        <v>137.88497646834259</v>
      </c>
      <c r="G68" s="5">
        <v>153.62530524314471</v>
      </c>
      <c r="H68" s="5">
        <v>15.851827799268495</v>
      </c>
      <c r="I68" s="5">
        <v>0.91439804711573225</v>
      </c>
      <c r="J68" s="5">
        <v>28.300427047768228</v>
      </c>
      <c r="K68" s="5">
        <v>91.890617751620141</v>
      </c>
      <c r="L68" s="5">
        <v>6.3545460216644436</v>
      </c>
      <c r="M68" s="5" t="b">
        <v>0</v>
      </c>
      <c r="N68" s="5" t="b">
        <v>0</v>
      </c>
      <c r="O68" s="5" t="b">
        <v>0</v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0</v>
      </c>
      <c r="U68" s="5" t="b">
        <v>0</v>
      </c>
      <c r="V68" s="5" t="b">
        <v>0</v>
      </c>
      <c r="W68" s="5" t="b">
        <v>0</v>
      </c>
      <c r="X68" s="5">
        <v>3</v>
      </c>
      <c r="Y68" s="5">
        <v>0</v>
      </c>
      <c r="Z68" s="5" t="b">
        <v>0</v>
      </c>
      <c r="AA68" s="5">
        <v>1.0214832</v>
      </c>
      <c r="AB68" s="5">
        <v>135.11172065627812</v>
      </c>
    </row>
    <row r="69" spans="2:28" x14ac:dyDescent="0.35">
      <c r="B69" s="5">
        <v>35</v>
      </c>
      <c r="C69" s="5">
        <v>12.001601931804569</v>
      </c>
      <c r="D69" s="5">
        <v>11.237964933982949</v>
      </c>
      <c r="E69" s="5">
        <v>11.99666304345706</v>
      </c>
      <c r="F69" s="5">
        <v>136.83357460164663</v>
      </c>
      <c r="G69" s="5">
        <v>119.16477494159696</v>
      </c>
      <c r="H69" s="5">
        <v>34.871686524295939</v>
      </c>
      <c r="I69" s="5">
        <v>1.2981993560993204</v>
      </c>
      <c r="J69" s="5">
        <v>27.51678545794999</v>
      </c>
      <c r="K69" s="5">
        <v>53.839929682050332</v>
      </c>
      <c r="L69" s="5">
        <v>6.4377679082722334</v>
      </c>
      <c r="M69" s="5" t="b">
        <v>0</v>
      </c>
      <c r="N69" s="5" t="b">
        <v>0</v>
      </c>
      <c r="O69" s="5" t="b">
        <v>0</v>
      </c>
      <c r="P69" s="5" t="b">
        <v>0</v>
      </c>
      <c r="Q69" s="5" t="b">
        <v>0</v>
      </c>
      <c r="R69" s="5" t="b">
        <v>1</v>
      </c>
      <c r="S69" s="5" t="b">
        <v>0</v>
      </c>
      <c r="T69" s="5" t="b">
        <v>0</v>
      </c>
      <c r="U69" s="5" t="b">
        <v>0</v>
      </c>
      <c r="V69" s="5" t="b">
        <v>0</v>
      </c>
      <c r="W69" s="5" t="b">
        <v>0</v>
      </c>
      <c r="X69" s="5">
        <v>2</v>
      </c>
      <c r="Y69" s="5">
        <v>1</v>
      </c>
      <c r="Z69" s="5" t="b">
        <v>1</v>
      </c>
      <c r="AA69" s="5">
        <v>5.1851070000000004</v>
      </c>
      <c r="AB69" s="5">
        <v>136.44416993180457</v>
      </c>
    </row>
    <row r="70" spans="2:28" x14ac:dyDescent="0.35">
      <c r="B70" s="5">
        <v>33</v>
      </c>
      <c r="C70" s="5">
        <v>12.001389340119388</v>
      </c>
      <c r="D70" s="5">
        <v>13.547647359201505</v>
      </c>
      <c r="E70" s="5">
        <v>12.810513202268579</v>
      </c>
      <c r="F70" s="5">
        <v>140.57675509876404</v>
      </c>
      <c r="G70" s="5">
        <v>152.7592593173778</v>
      </c>
      <c r="H70" s="5">
        <v>28.363659241408023</v>
      </c>
      <c r="I70" s="5">
        <v>0.93294763009890436</v>
      </c>
      <c r="J70" s="5">
        <v>29.290863185802312</v>
      </c>
      <c r="K70" s="5">
        <v>58.640076878467028</v>
      </c>
      <c r="L70" s="5">
        <v>6.1152044648343393</v>
      </c>
      <c r="M70" s="5" t="b">
        <v>1</v>
      </c>
      <c r="N70" s="5" t="b">
        <v>1</v>
      </c>
      <c r="O70" s="5" t="b">
        <v>0</v>
      </c>
      <c r="P70" s="5" t="b">
        <v>0</v>
      </c>
      <c r="Q70" s="5" t="b">
        <v>0</v>
      </c>
      <c r="R70" s="5" t="b">
        <v>1</v>
      </c>
      <c r="S70" s="5" t="b">
        <v>0</v>
      </c>
      <c r="T70" s="5" t="b">
        <v>0</v>
      </c>
      <c r="U70" s="5" t="b">
        <v>0</v>
      </c>
      <c r="V70" s="5" t="b">
        <v>0</v>
      </c>
      <c r="W70" s="5" t="b">
        <v>0</v>
      </c>
      <c r="X70" s="5">
        <v>2</v>
      </c>
      <c r="Y70" s="5">
        <v>2</v>
      </c>
      <c r="Z70" s="5" t="b">
        <v>0</v>
      </c>
      <c r="AA70" s="5">
        <v>5.2438773999999997</v>
      </c>
      <c r="AB70" s="5">
        <v>137.85444694011937</v>
      </c>
    </row>
    <row r="71" spans="2:28" x14ac:dyDescent="0.35">
      <c r="B71" s="5">
        <v>36</v>
      </c>
      <c r="C71" s="5">
        <v>12.001523773144857</v>
      </c>
      <c r="D71" s="5">
        <v>12.949897218702592</v>
      </c>
      <c r="E71" s="5">
        <v>10.408736518561676</v>
      </c>
      <c r="F71" s="5">
        <v>132.20596435948642</v>
      </c>
      <c r="G71" s="5">
        <v>161.96385873444092</v>
      </c>
      <c r="H71" s="5">
        <v>42.396166597978201</v>
      </c>
      <c r="I71" s="5">
        <v>1.2560256304005915</v>
      </c>
      <c r="J71" s="5">
        <v>29.121822759794281</v>
      </c>
      <c r="K71" s="5">
        <v>94.678510406538834</v>
      </c>
      <c r="L71" s="5">
        <v>5.3530220397322701</v>
      </c>
      <c r="M71" s="5" t="b">
        <v>0</v>
      </c>
      <c r="N71" s="5" t="b">
        <v>0</v>
      </c>
      <c r="O71" s="5" t="b">
        <v>0</v>
      </c>
      <c r="P71" s="5" t="b">
        <v>0</v>
      </c>
      <c r="Q71" s="5" t="b">
        <v>0</v>
      </c>
      <c r="R71" s="5" t="b">
        <v>0</v>
      </c>
      <c r="S71" s="5" t="b">
        <v>0</v>
      </c>
      <c r="T71" s="5" t="b">
        <v>0</v>
      </c>
      <c r="U71" s="5" t="b">
        <v>0</v>
      </c>
      <c r="V71" s="5" t="b">
        <v>0</v>
      </c>
      <c r="W71" s="5" t="b">
        <v>0</v>
      </c>
      <c r="X71" s="5">
        <v>1</v>
      </c>
      <c r="Y71" s="5">
        <v>1</v>
      </c>
      <c r="Z71" s="5" t="b">
        <v>1</v>
      </c>
      <c r="AA71" s="5">
        <v>5.2492470000000004</v>
      </c>
      <c r="AB71" s="5">
        <v>137.98345177314488</v>
      </c>
    </row>
    <row r="72" spans="2:28" x14ac:dyDescent="0.35">
      <c r="B72" s="5">
        <v>49</v>
      </c>
      <c r="C72" s="5">
        <v>12.003133925227468</v>
      </c>
      <c r="D72" s="5">
        <v>11.209286024801607</v>
      </c>
      <c r="E72" s="5">
        <v>15.715785369347941</v>
      </c>
      <c r="F72" s="5">
        <v>139.43137129782653</v>
      </c>
      <c r="G72" s="5">
        <v>87.22166468272809</v>
      </c>
      <c r="H72" s="5">
        <v>23.333123184111336</v>
      </c>
      <c r="I72" s="5">
        <v>1.2702946697450963</v>
      </c>
      <c r="J72" s="5">
        <v>32.444398348946699</v>
      </c>
      <c r="K72" s="5">
        <v>51.113437998667578</v>
      </c>
      <c r="L72" s="5">
        <v>7.5892335241336752</v>
      </c>
      <c r="M72" s="5" t="b">
        <v>0</v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  <c r="V72" s="5" t="b">
        <v>1</v>
      </c>
      <c r="W72" s="5" t="b">
        <v>0</v>
      </c>
      <c r="X72" s="5">
        <v>1</v>
      </c>
      <c r="Y72" s="5">
        <v>1</v>
      </c>
      <c r="Z72" s="5" t="b">
        <v>1</v>
      </c>
      <c r="AA72" s="5">
        <v>5.2827023999999998</v>
      </c>
      <c r="AB72" s="5">
        <v>138.78799152522745</v>
      </c>
    </row>
    <row r="73" spans="2:28" x14ac:dyDescent="0.35">
      <c r="B73" s="5">
        <v>17</v>
      </c>
      <c r="C73" s="5">
        <v>6.0013195968076953</v>
      </c>
      <c r="D73" s="5">
        <v>9.654573015432879</v>
      </c>
      <c r="E73" s="5">
        <v>5.5221382342705709</v>
      </c>
      <c r="F73" s="5">
        <v>137.40994941235726</v>
      </c>
      <c r="G73" s="5">
        <v>106.17911664815365</v>
      </c>
      <c r="H73" s="5">
        <v>18.66893680942168</v>
      </c>
      <c r="I73" s="5">
        <v>0.74392631664879727</v>
      </c>
      <c r="J73" s="5">
        <v>31.803009345386684</v>
      </c>
      <c r="K73" s="5">
        <v>46.538393357897434</v>
      </c>
      <c r="L73" s="5">
        <v>6.0979340218854956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0</v>
      </c>
      <c r="R73" s="5" t="b">
        <v>0</v>
      </c>
      <c r="S73" s="5" t="b">
        <v>0</v>
      </c>
      <c r="T73" s="5" t="b">
        <v>0</v>
      </c>
      <c r="U73" s="5" t="b">
        <v>0</v>
      </c>
      <c r="V73" s="5" t="b">
        <v>0</v>
      </c>
      <c r="W73" s="5" t="b">
        <v>0</v>
      </c>
      <c r="X73" s="5">
        <v>1</v>
      </c>
      <c r="Y73" s="5">
        <v>2</v>
      </c>
      <c r="Z73" s="5" t="b">
        <v>0</v>
      </c>
      <c r="AA73" s="5">
        <v>5.6174416999999996</v>
      </c>
      <c r="AB73" s="5">
        <v>140.81992039680767</v>
      </c>
    </row>
    <row r="74" spans="2:28" x14ac:dyDescent="0.35">
      <c r="B74" s="5">
        <v>80</v>
      </c>
      <c r="C74" s="5">
        <v>44.109782895260103</v>
      </c>
      <c r="D74" s="5">
        <v>13.102333652662605</v>
      </c>
      <c r="E74" s="5">
        <v>7.7702530815678852</v>
      </c>
      <c r="F74" s="5">
        <v>138.78836167752559</v>
      </c>
      <c r="G74" s="5">
        <v>100.32361283709804</v>
      </c>
      <c r="H74" s="5">
        <v>9.2645618180875164</v>
      </c>
      <c r="I74" s="5">
        <v>0.79810291745172179</v>
      </c>
      <c r="J74" s="5">
        <v>31.74767144983236</v>
      </c>
      <c r="K74" s="5">
        <v>78.652016127045783</v>
      </c>
      <c r="L74" s="5">
        <v>5.968487143821541</v>
      </c>
      <c r="M74" s="5" t="b">
        <v>0</v>
      </c>
      <c r="N74" s="5" t="b">
        <v>0</v>
      </c>
      <c r="O74" s="5" t="b">
        <v>0</v>
      </c>
      <c r="P74" s="5" t="b">
        <v>0</v>
      </c>
      <c r="Q74" s="5" t="b">
        <v>0</v>
      </c>
      <c r="R74" s="5" t="b">
        <v>0</v>
      </c>
      <c r="S74" s="5" t="b">
        <v>0</v>
      </c>
      <c r="T74" s="5" t="b">
        <v>0</v>
      </c>
      <c r="U74" s="5" t="b">
        <v>0</v>
      </c>
      <c r="V74" s="5" t="b">
        <v>0</v>
      </c>
      <c r="W74" s="5" t="b">
        <v>0</v>
      </c>
      <c r="X74" s="5">
        <v>0</v>
      </c>
      <c r="Y74" s="5">
        <v>2</v>
      </c>
      <c r="Z74" s="5" t="b">
        <v>0</v>
      </c>
      <c r="AA74" s="5">
        <v>4.0787363000000001</v>
      </c>
      <c r="AB74" s="5">
        <v>141.99945409526009</v>
      </c>
    </row>
    <row r="75" spans="2:28" x14ac:dyDescent="0.35">
      <c r="B75" s="5">
        <v>93</v>
      </c>
      <c r="C75" s="5">
        <v>71.225640197666934</v>
      </c>
      <c r="D75" s="5">
        <v>12.495056980575681</v>
      </c>
      <c r="E75" s="5">
        <v>16.232232662342874</v>
      </c>
      <c r="F75" s="5">
        <v>139.65428717024378</v>
      </c>
      <c r="G75" s="5">
        <v>139.51984046542233</v>
      </c>
      <c r="H75" s="5">
        <v>5.2202345345179175</v>
      </c>
      <c r="I75" s="5">
        <v>1.0197554269300415</v>
      </c>
      <c r="J75" s="5">
        <v>29.077685652539792</v>
      </c>
      <c r="K75" s="5">
        <v>77.825297122442194</v>
      </c>
      <c r="L75" s="5">
        <v>7.5701674068809375</v>
      </c>
      <c r="M75" s="5" t="b">
        <v>0</v>
      </c>
      <c r="N75" s="5" t="b">
        <v>0</v>
      </c>
      <c r="O75" s="5" t="b">
        <v>0</v>
      </c>
      <c r="P75" s="5" t="b">
        <v>0</v>
      </c>
      <c r="Q75" s="5" t="b">
        <v>0</v>
      </c>
      <c r="R75" s="5" t="b">
        <v>1</v>
      </c>
      <c r="S75" s="5" t="b">
        <v>0</v>
      </c>
      <c r="T75" s="5" t="b">
        <v>0</v>
      </c>
      <c r="U75" s="5" t="b">
        <v>0</v>
      </c>
      <c r="V75" s="5" t="b">
        <v>0</v>
      </c>
      <c r="W75" s="5" t="b">
        <v>0</v>
      </c>
      <c r="X75" s="5">
        <v>2</v>
      </c>
      <c r="Y75" s="5">
        <v>0</v>
      </c>
      <c r="Z75" s="5" t="b">
        <v>0</v>
      </c>
      <c r="AA75" s="5">
        <v>2.9639131999999999</v>
      </c>
      <c r="AB75" s="5">
        <v>142.35955699766691</v>
      </c>
    </row>
    <row r="76" spans="2:28" x14ac:dyDescent="0.35">
      <c r="B76" s="5">
        <v>77</v>
      </c>
      <c r="C76" s="5">
        <v>37.28613373325171</v>
      </c>
      <c r="D76" s="5">
        <v>10.071772066408307</v>
      </c>
      <c r="E76" s="5">
        <v>1.6152995399429226</v>
      </c>
      <c r="F76" s="5">
        <v>139.35107569784373</v>
      </c>
      <c r="G76" s="5">
        <v>159.78028159854586</v>
      </c>
      <c r="H76" s="5">
        <v>24.039329565763474</v>
      </c>
      <c r="I76" s="5">
        <v>1.0174758985931995</v>
      </c>
      <c r="J76" s="5">
        <v>30.837570566715002</v>
      </c>
      <c r="K76" s="5">
        <v>88.528588318380542</v>
      </c>
      <c r="L76" s="5">
        <v>5.6009940508119902</v>
      </c>
      <c r="M76" s="5" t="b">
        <v>0</v>
      </c>
      <c r="N76" s="5" t="b">
        <v>0</v>
      </c>
      <c r="O76" s="5" t="b">
        <v>0</v>
      </c>
      <c r="P76" s="5" t="b">
        <v>0</v>
      </c>
      <c r="Q76" s="5" t="b">
        <v>0</v>
      </c>
      <c r="R76" s="5" t="b">
        <v>0</v>
      </c>
      <c r="S76" s="5" t="b">
        <v>0</v>
      </c>
      <c r="T76" s="5" t="b">
        <v>0</v>
      </c>
      <c r="U76" s="5" t="b">
        <v>0</v>
      </c>
      <c r="V76" s="5" t="b">
        <v>0</v>
      </c>
      <c r="W76" s="5" t="b">
        <v>0</v>
      </c>
      <c r="X76" s="5">
        <v>1</v>
      </c>
      <c r="Y76" s="5">
        <v>1</v>
      </c>
      <c r="Z76" s="5" t="b">
        <v>1</v>
      </c>
      <c r="AA76" s="5">
        <v>4.5539779999999999</v>
      </c>
      <c r="AB76" s="5">
        <v>146.58160573325171</v>
      </c>
    </row>
    <row r="77" spans="2:28" x14ac:dyDescent="0.35">
      <c r="B77" s="5">
        <v>112</v>
      </c>
      <c r="C77" s="5">
        <v>102.6053079253787</v>
      </c>
      <c r="D77" s="5">
        <v>11.420968646209124</v>
      </c>
      <c r="E77" s="5">
        <v>14.005604494332944</v>
      </c>
      <c r="F77" s="5">
        <v>141.1309714236846</v>
      </c>
      <c r="G77" s="5">
        <v>147.49366530977153</v>
      </c>
      <c r="H77" s="5">
        <v>26.393659918619335</v>
      </c>
      <c r="I77" s="5">
        <v>0.91993408180029146</v>
      </c>
      <c r="J77" s="5">
        <v>25.418629803722112</v>
      </c>
      <c r="K77" s="5">
        <v>96.54582295290956</v>
      </c>
      <c r="L77" s="5">
        <v>6.354803658282937</v>
      </c>
      <c r="M77" s="5" t="b">
        <v>0</v>
      </c>
      <c r="N77" s="5" t="b">
        <v>0</v>
      </c>
      <c r="O77" s="5" t="b">
        <v>0</v>
      </c>
      <c r="P77" s="5" t="b">
        <v>0</v>
      </c>
      <c r="Q77" s="5" t="b">
        <v>0</v>
      </c>
      <c r="R77" s="5" t="b">
        <v>0</v>
      </c>
      <c r="S77" s="5" t="b">
        <v>0</v>
      </c>
      <c r="T77" s="5" t="b">
        <v>0</v>
      </c>
      <c r="U77" s="5" t="b">
        <v>0</v>
      </c>
      <c r="V77" s="5" t="b">
        <v>0</v>
      </c>
      <c r="W77" s="5" t="b">
        <v>0</v>
      </c>
      <c r="X77" s="5">
        <v>1</v>
      </c>
      <c r="Y77" s="5">
        <v>0</v>
      </c>
      <c r="Z77" s="5" t="b">
        <v>1</v>
      </c>
      <c r="AA77" s="5">
        <v>1.9020875999999998</v>
      </c>
      <c r="AB77" s="5">
        <v>148.2554103253787</v>
      </c>
    </row>
    <row r="78" spans="2:28" x14ac:dyDescent="0.35">
      <c r="B78" s="5">
        <v>75</v>
      </c>
      <c r="C78" s="5">
        <v>36.270298866936507</v>
      </c>
      <c r="D78" s="5">
        <v>10.269992975073286</v>
      </c>
      <c r="E78" s="5">
        <v>17.70658762322963</v>
      </c>
      <c r="F78" s="5">
        <v>138.1967601611959</v>
      </c>
      <c r="G78" s="5">
        <v>91.786386591973866</v>
      </c>
      <c r="H78" s="5">
        <v>7.6002357175021018E-2</v>
      </c>
      <c r="I78" s="5">
        <v>1.1297789308407222</v>
      </c>
      <c r="J78" s="5">
        <v>29.880795809384775</v>
      </c>
      <c r="K78" s="5">
        <v>59.881164428719714</v>
      </c>
      <c r="L78" s="5">
        <v>6.7855651931552901</v>
      </c>
      <c r="M78" s="5" t="b">
        <v>0</v>
      </c>
      <c r="N78" s="5" t="b">
        <v>0</v>
      </c>
      <c r="O78" s="5" t="b">
        <v>0</v>
      </c>
      <c r="P78" s="5" t="b">
        <v>0</v>
      </c>
      <c r="Q78" s="5" t="b">
        <v>0</v>
      </c>
      <c r="R78" s="5" t="b">
        <v>1</v>
      </c>
      <c r="S78" s="5" t="b">
        <v>0</v>
      </c>
      <c r="T78" s="5" t="b">
        <v>0</v>
      </c>
      <c r="U78" s="5" t="b">
        <v>0</v>
      </c>
      <c r="V78" s="5" t="b">
        <v>0</v>
      </c>
      <c r="W78" s="5" t="b">
        <v>0</v>
      </c>
      <c r="X78" s="5">
        <v>2</v>
      </c>
      <c r="Y78" s="5">
        <v>1</v>
      </c>
      <c r="Z78" s="5" t="b">
        <v>0</v>
      </c>
      <c r="AA78" s="5">
        <v>4.6884560000000004</v>
      </c>
      <c r="AB78" s="5">
        <v>148.79324286693651</v>
      </c>
    </row>
    <row r="79" spans="2:28" x14ac:dyDescent="0.35">
      <c r="B79" s="5">
        <v>73</v>
      </c>
      <c r="C79" s="5">
        <v>29.869693330447703</v>
      </c>
      <c r="D79" s="5">
        <v>11.930617773534811</v>
      </c>
      <c r="E79" s="5">
        <v>11.560433706071008</v>
      </c>
      <c r="F79" s="5">
        <v>132.16855901202374</v>
      </c>
      <c r="G79" s="5">
        <v>172.78777676821167</v>
      </c>
      <c r="H79" s="5">
        <v>16.93316440295391</v>
      </c>
      <c r="I79" s="5">
        <v>1.2017178994773703</v>
      </c>
      <c r="J79" s="5">
        <v>29.454637718704443</v>
      </c>
      <c r="K79" s="5">
        <v>89.275393259780117</v>
      </c>
      <c r="L79" s="5">
        <v>5.2508759101609925</v>
      </c>
      <c r="M79" s="5" t="b">
        <v>0</v>
      </c>
      <c r="N79" s="5" t="b">
        <v>0</v>
      </c>
      <c r="O79" s="5" t="b">
        <v>0</v>
      </c>
      <c r="P79" s="5" t="b">
        <v>0</v>
      </c>
      <c r="Q79" s="5" t="b">
        <v>1</v>
      </c>
      <c r="R79" s="5" t="b">
        <v>0</v>
      </c>
      <c r="S79" s="5" t="b">
        <v>0</v>
      </c>
      <c r="T79" s="5" t="b">
        <v>0</v>
      </c>
      <c r="U79" s="5" t="b">
        <v>0</v>
      </c>
      <c r="V79" s="5" t="b">
        <v>0</v>
      </c>
      <c r="W79" s="5" t="b">
        <v>0</v>
      </c>
      <c r="X79" s="5">
        <v>1</v>
      </c>
      <c r="Y79" s="5">
        <v>0</v>
      </c>
      <c r="Z79" s="5" t="b">
        <v>1</v>
      </c>
      <c r="AA79" s="5">
        <v>4.9781740000000001</v>
      </c>
      <c r="AB79" s="5">
        <v>149.34586933044773</v>
      </c>
    </row>
    <row r="80" spans="2:28" x14ac:dyDescent="0.35">
      <c r="B80" s="5">
        <v>69</v>
      </c>
      <c r="C80" s="5">
        <v>17.002039637334875</v>
      </c>
      <c r="D80" s="5">
        <v>12.875562945952311</v>
      </c>
      <c r="E80" s="5">
        <v>13.35355715699985</v>
      </c>
      <c r="F80" s="5">
        <v>133.78698105511401</v>
      </c>
      <c r="G80" s="5">
        <v>106.68630762709</v>
      </c>
      <c r="H80" s="5">
        <v>19.239076553835346</v>
      </c>
      <c r="I80" s="5">
        <v>1.4967664494901076</v>
      </c>
      <c r="J80" s="5">
        <v>33.698619707273025</v>
      </c>
      <c r="K80" s="5">
        <v>76.646614813460801</v>
      </c>
      <c r="L80" s="5">
        <v>7.7724665878994816</v>
      </c>
      <c r="M80" s="5" t="b">
        <v>0</v>
      </c>
      <c r="N80" s="5" t="b">
        <v>0</v>
      </c>
      <c r="O80" s="5" t="b">
        <v>1</v>
      </c>
      <c r="P80" s="5" t="b">
        <v>0</v>
      </c>
      <c r="Q80" s="5" t="b">
        <v>0</v>
      </c>
      <c r="R80" s="5" t="b">
        <v>0</v>
      </c>
      <c r="S80" s="5" t="b">
        <v>0</v>
      </c>
      <c r="T80" s="5" t="b">
        <v>0</v>
      </c>
      <c r="U80" s="5" t="b">
        <v>0</v>
      </c>
      <c r="V80" s="5" t="b">
        <v>0</v>
      </c>
      <c r="W80" s="5" t="b">
        <v>0</v>
      </c>
      <c r="X80" s="5">
        <v>1</v>
      </c>
      <c r="Y80" s="5">
        <v>0</v>
      </c>
      <c r="Z80" s="5" t="b">
        <v>1</v>
      </c>
      <c r="AA80" s="5">
        <v>5.5737996000000001</v>
      </c>
      <c r="AB80" s="5">
        <v>150.77323003733488</v>
      </c>
    </row>
    <row r="81" spans="2:28" x14ac:dyDescent="0.35">
      <c r="B81" s="5">
        <v>37</v>
      </c>
      <c r="C81" s="5">
        <v>12.001826207906911</v>
      </c>
      <c r="D81" s="5">
        <v>11.808822322129471</v>
      </c>
      <c r="E81" s="5">
        <v>9.5037816605270642</v>
      </c>
      <c r="F81" s="5">
        <v>142.54131626207982</v>
      </c>
      <c r="G81" s="5">
        <v>189.50020028068451</v>
      </c>
      <c r="H81" s="5">
        <v>11.381503393856718</v>
      </c>
      <c r="I81" s="5">
        <v>1.1497496131113474</v>
      </c>
      <c r="J81" s="5">
        <v>31.686613451870759</v>
      </c>
      <c r="K81" s="5">
        <v>93.336262683863922</v>
      </c>
      <c r="L81" s="5">
        <v>5.6671903417181699</v>
      </c>
      <c r="M81" s="5" t="b">
        <v>0</v>
      </c>
      <c r="N81" s="5" t="b">
        <v>0</v>
      </c>
      <c r="O81" s="5" t="b">
        <v>0</v>
      </c>
      <c r="P81" s="5" t="b">
        <v>0</v>
      </c>
      <c r="Q81" s="5" t="b">
        <v>0</v>
      </c>
      <c r="R81" s="5" t="b">
        <v>1</v>
      </c>
      <c r="S81" s="5" t="b">
        <v>0</v>
      </c>
      <c r="T81" s="5" t="b">
        <v>0</v>
      </c>
      <c r="U81" s="5" t="b">
        <v>0</v>
      </c>
      <c r="V81" s="5" t="b">
        <v>0</v>
      </c>
      <c r="W81" s="5" t="b">
        <v>0</v>
      </c>
      <c r="X81" s="5">
        <v>1</v>
      </c>
      <c r="Y81" s="5">
        <v>0</v>
      </c>
      <c r="Z81" s="5" t="b">
        <v>1</v>
      </c>
      <c r="AA81" s="5">
        <v>5.8037850000000004</v>
      </c>
      <c r="AB81" s="5">
        <v>151.2926662079069</v>
      </c>
    </row>
    <row r="82" spans="2:28" x14ac:dyDescent="0.35">
      <c r="B82" s="5">
        <v>135</v>
      </c>
      <c r="C82" s="5">
        <v>127.74566151494636</v>
      </c>
      <c r="D82" s="5">
        <v>10.888050809201012</v>
      </c>
      <c r="E82" s="5">
        <v>3.6709958111964642</v>
      </c>
      <c r="F82" s="5">
        <v>135.75722539320626</v>
      </c>
      <c r="G82" s="5">
        <v>107.57639471821358</v>
      </c>
      <c r="H82" s="5">
        <v>15.82131137840731</v>
      </c>
      <c r="I82" s="5">
        <v>1.1167210389146565</v>
      </c>
      <c r="J82" s="5">
        <v>30.011978546329178</v>
      </c>
      <c r="K82" s="5">
        <v>66.918370251213943</v>
      </c>
      <c r="L82" s="5">
        <v>6.2238691900404639</v>
      </c>
      <c r="M82" s="5" t="b">
        <v>0</v>
      </c>
      <c r="N82" s="5" t="b">
        <v>0</v>
      </c>
      <c r="O82" s="5" t="b">
        <v>0</v>
      </c>
      <c r="P82" s="5" t="b">
        <v>0</v>
      </c>
      <c r="Q82" s="5" t="b">
        <v>0</v>
      </c>
      <c r="R82" s="5" t="b">
        <v>0</v>
      </c>
      <c r="S82" s="5" t="b">
        <v>0</v>
      </c>
      <c r="T82" s="5" t="b">
        <v>0</v>
      </c>
      <c r="U82" s="5" t="b">
        <v>0</v>
      </c>
      <c r="V82" s="5" t="b">
        <v>0</v>
      </c>
      <c r="W82" s="5" t="b">
        <v>0</v>
      </c>
      <c r="X82" s="5">
        <v>1</v>
      </c>
      <c r="Y82" s="5">
        <v>0</v>
      </c>
      <c r="Z82" s="5" t="b">
        <v>1</v>
      </c>
      <c r="AA82" s="5">
        <v>1.0119479</v>
      </c>
      <c r="AB82" s="5">
        <v>152.03241111494637</v>
      </c>
    </row>
    <row r="83" spans="2:28" x14ac:dyDescent="0.35">
      <c r="B83" s="5">
        <v>13</v>
      </c>
      <c r="C83" s="5">
        <v>6.0005114027811528</v>
      </c>
      <c r="D83" s="5">
        <v>11.579904453479111</v>
      </c>
      <c r="E83" s="5">
        <v>9.7654444108577323</v>
      </c>
      <c r="F83" s="5">
        <v>143.95460671901557</v>
      </c>
      <c r="G83" s="5">
        <v>192.46850133701685</v>
      </c>
      <c r="H83" s="5">
        <v>22.770970343273277</v>
      </c>
      <c r="I83" s="5">
        <v>1.2423649232098422</v>
      </c>
      <c r="J83" s="5">
        <v>31.003967086499223</v>
      </c>
      <c r="K83" s="5">
        <v>59.207618687411681</v>
      </c>
      <c r="L83" s="5">
        <v>5.7850648309661459</v>
      </c>
      <c r="M83" s="5" t="b">
        <v>0</v>
      </c>
      <c r="N83" s="5" t="b">
        <v>0</v>
      </c>
      <c r="O83" s="5" t="b">
        <v>0</v>
      </c>
      <c r="P83" s="5" t="b">
        <v>0</v>
      </c>
      <c r="Q83" s="5" t="b">
        <v>0</v>
      </c>
      <c r="R83" s="5" t="b">
        <v>1</v>
      </c>
      <c r="S83" s="5" t="b">
        <v>0</v>
      </c>
      <c r="T83" s="5" t="b">
        <v>0</v>
      </c>
      <c r="U83" s="5" t="b">
        <v>0</v>
      </c>
      <c r="V83" s="5" t="b">
        <v>0</v>
      </c>
      <c r="W83" s="5" t="b">
        <v>0</v>
      </c>
      <c r="X83" s="5">
        <v>1</v>
      </c>
      <c r="Y83" s="5">
        <v>1</v>
      </c>
      <c r="Z83" s="5" t="b">
        <v>0</v>
      </c>
      <c r="AA83" s="5">
        <v>6.0982102999999999</v>
      </c>
      <c r="AB83" s="5">
        <v>152.35755860278113</v>
      </c>
    </row>
    <row r="84" spans="2:28" x14ac:dyDescent="0.35">
      <c r="B84" s="5">
        <v>101</v>
      </c>
      <c r="C84" s="5">
        <v>83.617206864161261</v>
      </c>
      <c r="D84" s="5">
        <v>10.680627739254886</v>
      </c>
      <c r="E84" s="5">
        <v>10.5657899337284</v>
      </c>
      <c r="F84" s="5">
        <v>140.82824303788206</v>
      </c>
      <c r="G84" s="5">
        <v>112.73835786243332</v>
      </c>
      <c r="H84" s="5">
        <v>6.4575428386872451</v>
      </c>
      <c r="I84" s="5">
        <v>0.94941044586509371</v>
      </c>
      <c r="J84" s="5">
        <v>30.925260184317491</v>
      </c>
      <c r="K84" s="5">
        <v>61.843112106333635</v>
      </c>
      <c r="L84" s="5">
        <v>5.8691589042574996</v>
      </c>
      <c r="M84" s="5" t="b">
        <v>0</v>
      </c>
      <c r="N84" s="5" t="b">
        <v>1</v>
      </c>
      <c r="O84" s="5" t="b">
        <v>0</v>
      </c>
      <c r="P84" s="5" t="b">
        <v>0</v>
      </c>
      <c r="Q84" s="5" t="b">
        <v>0</v>
      </c>
      <c r="R84" s="5" t="b">
        <v>0</v>
      </c>
      <c r="S84" s="5" t="b">
        <v>0</v>
      </c>
      <c r="T84" s="5" t="b">
        <v>0</v>
      </c>
      <c r="U84" s="5" t="b">
        <v>0</v>
      </c>
      <c r="V84" s="5" t="b">
        <v>0</v>
      </c>
      <c r="W84" s="5" t="b">
        <v>0</v>
      </c>
      <c r="X84" s="5">
        <v>0</v>
      </c>
      <c r="Y84" s="5">
        <v>0</v>
      </c>
      <c r="Z84" s="5" t="b">
        <v>1</v>
      </c>
      <c r="AA84" s="5">
        <v>2.9116920999999998</v>
      </c>
      <c r="AB84" s="5">
        <v>153.49781726416126</v>
      </c>
    </row>
    <row r="85" spans="2:28" x14ac:dyDescent="0.35">
      <c r="B85" s="5">
        <v>21</v>
      </c>
      <c r="C85" s="5">
        <v>6.0015287617179913</v>
      </c>
      <c r="D85" s="5">
        <v>8.0115521952893047</v>
      </c>
      <c r="E85" s="5">
        <v>2.7034883049720229</v>
      </c>
      <c r="F85" s="5">
        <v>142.43797413465776</v>
      </c>
      <c r="G85" s="5">
        <v>127.9267317296364</v>
      </c>
      <c r="H85" s="5">
        <v>12.121745626138175</v>
      </c>
      <c r="I85" s="5">
        <v>1.0504991563448809</v>
      </c>
      <c r="J85" s="5">
        <v>26.133106101770252</v>
      </c>
      <c r="K85" s="5">
        <v>63.500331037596183</v>
      </c>
      <c r="L85" s="5">
        <v>6.5705896474678456</v>
      </c>
      <c r="M85" s="5" t="b">
        <v>0</v>
      </c>
      <c r="N85" s="5" t="b">
        <v>0</v>
      </c>
      <c r="O85" s="5" t="b">
        <v>1</v>
      </c>
      <c r="P85" s="5" t="b">
        <v>0</v>
      </c>
      <c r="Q85" s="5" t="b">
        <v>0</v>
      </c>
      <c r="R85" s="5" t="b">
        <v>0</v>
      </c>
      <c r="S85" s="5" t="b">
        <v>0</v>
      </c>
      <c r="T85" s="5" t="b">
        <v>0</v>
      </c>
      <c r="U85" s="5" t="b">
        <v>0</v>
      </c>
      <c r="V85" s="5" t="b">
        <v>0</v>
      </c>
      <c r="W85" s="5" t="b">
        <v>0</v>
      </c>
      <c r="X85" s="5">
        <v>0</v>
      </c>
      <c r="Y85" s="5">
        <v>0</v>
      </c>
      <c r="Z85" s="5" t="b">
        <v>0</v>
      </c>
      <c r="AA85" s="5">
        <v>6.1584373000000001</v>
      </c>
      <c r="AB85" s="5">
        <v>153.80402396171797</v>
      </c>
    </row>
    <row r="86" spans="2:28" x14ac:dyDescent="0.35">
      <c r="B86" s="5">
        <v>84</v>
      </c>
      <c r="C86" s="5">
        <v>54.851240370492391</v>
      </c>
      <c r="D86" s="5">
        <v>13.643165580775175</v>
      </c>
      <c r="E86" s="5">
        <v>9.7635595156902024</v>
      </c>
      <c r="F86" s="5">
        <v>140.25419176747576</v>
      </c>
      <c r="G86" s="5">
        <v>200.35803323556692</v>
      </c>
      <c r="H86" s="5">
        <v>19.441234275302126</v>
      </c>
      <c r="I86" s="5">
        <v>1.0757587325140565</v>
      </c>
      <c r="J86" s="5">
        <v>27.080183452631903</v>
      </c>
      <c r="K86" s="5">
        <v>58.576067906499141</v>
      </c>
      <c r="L86" s="5">
        <v>5.6577370685949147</v>
      </c>
      <c r="M86" s="5" t="b">
        <v>0</v>
      </c>
      <c r="N86" s="5" t="b">
        <v>0</v>
      </c>
      <c r="O86" s="5" t="b">
        <v>0</v>
      </c>
      <c r="P86" s="5" t="b">
        <v>0</v>
      </c>
      <c r="Q86" s="5" t="b">
        <v>0</v>
      </c>
      <c r="R86" s="5" t="b">
        <v>0</v>
      </c>
      <c r="S86" s="5" t="b">
        <v>0</v>
      </c>
      <c r="T86" s="5" t="b">
        <v>0</v>
      </c>
      <c r="U86" s="5" t="b">
        <v>0</v>
      </c>
      <c r="V86" s="5" t="b">
        <v>0</v>
      </c>
      <c r="W86" s="5" t="b">
        <v>0</v>
      </c>
      <c r="X86" s="5">
        <v>2</v>
      </c>
      <c r="Y86" s="5">
        <v>0</v>
      </c>
      <c r="Z86" s="5" t="b">
        <v>1</v>
      </c>
      <c r="AA86" s="5">
        <v>4.1966558000000003</v>
      </c>
      <c r="AB86" s="5">
        <v>155.5709795704924</v>
      </c>
    </row>
    <row r="87" spans="2:28" x14ac:dyDescent="0.35">
      <c r="B87" s="5">
        <v>125</v>
      </c>
      <c r="C87" s="5">
        <v>120.67416267957822</v>
      </c>
      <c r="D87" s="5">
        <v>13.320319603194553</v>
      </c>
      <c r="E87" s="5">
        <v>3.3656096083883265</v>
      </c>
      <c r="F87" s="5">
        <v>140.3034775599352</v>
      </c>
      <c r="G87" s="5">
        <v>108.51310581933573</v>
      </c>
      <c r="H87" s="5">
        <v>23.218169174752052</v>
      </c>
      <c r="I87" s="5">
        <v>0.92341538256967293</v>
      </c>
      <c r="J87" s="5">
        <v>30.713255128476561</v>
      </c>
      <c r="K87" s="5">
        <v>83.47840732253627</v>
      </c>
      <c r="L87" s="5">
        <v>5.1029040828881342</v>
      </c>
      <c r="M87" s="5" t="b">
        <v>0</v>
      </c>
      <c r="N87" s="5" t="b">
        <v>0</v>
      </c>
      <c r="O87" s="5" t="b">
        <v>0</v>
      </c>
      <c r="P87" s="5" t="b">
        <v>0</v>
      </c>
      <c r="Q87" s="5" t="b">
        <v>0</v>
      </c>
      <c r="R87" s="5" t="b">
        <v>0</v>
      </c>
      <c r="S87" s="5" t="b">
        <v>0</v>
      </c>
      <c r="T87" s="5" t="b">
        <v>0</v>
      </c>
      <c r="U87" s="5" t="b">
        <v>0</v>
      </c>
      <c r="V87" s="5" t="b">
        <v>0</v>
      </c>
      <c r="W87" s="5" t="b">
        <v>0</v>
      </c>
      <c r="X87" s="5">
        <v>0</v>
      </c>
      <c r="Y87" s="5">
        <v>0</v>
      </c>
      <c r="Z87" s="5" t="b">
        <v>0</v>
      </c>
      <c r="AA87" s="5">
        <v>1.5156106999999999</v>
      </c>
      <c r="AB87" s="5">
        <v>157.04881947957821</v>
      </c>
    </row>
    <row r="88" spans="2:28" x14ac:dyDescent="0.35">
      <c r="B88" s="5">
        <v>108</v>
      </c>
      <c r="C88" s="5">
        <v>96.775502478435058</v>
      </c>
      <c r="D88" s="5">
        <v>12.731626410118585</v>
      </c>
      <c r="E88" s="5">
        <v>13.14605235827549</v>
      </c>
      <c r="F88" s="5">
        <v>142.6908310903251</v>
      </c>
      <c r="G88" s="5">
        <v>117.0296083967142</v>
      </c>
      <c r="H88" s="5">
        <v>13.355557841249546</v>
      </c>
      <c r="I88" s="5">
        <v>1.1282335081071957</v>
      </c>
      <c r="J88" s="5">
        <v>29.64445693151356</v>
      </c>
      <c r="K88" s="5">
        <v>88.114941511997614</v>
      </c>
      <c r="L88" s="5">
        <v>6.5367379872697624</v>
      </c>
      <c r="M88" s="5" t="b">
        <v>0</v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b">
        <v>0</v>
      </c>
      <c r="T88" s="5" t="b">
        <v>0</v>
      </c>
      <c r="U88" s="5" t="b">
        <v>0</v>
      </c>
      <c r="V88" s="5" t="b">
        <v>0</v>
      </c>
      <c r="W88" s="5" t="b">
        <v>0</v>
      </c>
      <c r="X88" s="5">
        <v>1</v>
      </c>
      <c r="Y88" s="5">
        <v>1</v>
      </c>
      <c r="Z88" s="5" t="b">
        <v>0</v>
      </c>
      <c r="AA88" s="5">
        <v>2.5668576000000001</v>
      </c>
      <c r="AB88" s="5">
        <v>158.38008487843507</v>
      </c>
    </row>
    <row r="89" spans="2:28" x14ac:dyDescent="0.35">
      <c r="B89" s="5">
        <v>95</v>
      </c>
      <c r="C89" s="5">
        <v>73.113367441818212</v>
      </c>
      <c r="D89" s="5">
        <v>14.303825983397825</v>
      </c>
      <c r="E89" s="5">
        <v>9.0765158101378969</v>
      </c>
      <c r="F89" s="5">
        <v>140.99397009181112</v>
      </c>
      <c r="G89" s="5">
        <v>125.86796554668288</v>
      </c>
      <c r="H89" s="5">
        <v>18.641290035108799</v>
      </c>
      <c r="I89" s="5">
        <v>0.79749222701269162</v>
      </c>
      <c r="J89" s="5">
        <v>29.496256487901693</v>
      </c>
      <c r="K89" s="5">
        <v>73.183793963911498</v>
      </c>
      <c r="L89" s="5">
        <v>6.2334105888808704</v>
      </c>
      <c r="M89" s="5" t="b">
        <v>0</v>
      </c>
      <c r="N89" s="5" t="b">
        <v>0</v>
      </c>
      <c r="O89" s="5" t="b">
        <v>0</v>
      </c>
      <c r="P89" s="5" t="b">
        <v>0</v>
      </c>
      <c r="Q89" s="5" t="b">
        <v>0</v>
      </c>
      <c r="R89" s="5" t="b">
        <v>0</v>
      </c>
      <c r="S89" s="5" t="b">
        <v>0</v>
      </c>
      <c r="T89" s="5" t="b">
        <v>1</v>
      </c>
      <c r="U89" s="5" t="b">
        <v>0</v>
      </c>
      <c r="V89" s="5" t="b">
        <v>0</v>
      </c>
      <c r="W89" s="5" t="b">
        <v>0</v>
      </c>
      <c r="X89" s="5">
        <v>2</v>
      </c>
      <c r="Y89" s="5">
        <v>0</v>
      </c>
      <c r="Z89" s="5" t="b">
        <v>0</v>
      </c>
      <c r="AA89" s="5">
        <v>3.6528893</v>
      </c>
      <c r="AB89" s="5">
        <v>160.7827106418182</v>
      </c>
    </row>
    <row r="90" spans="2:28" x14ac:dyDescent="0.35">
      <c r="B90" s="5">
        <v>105</v>
      </c>
      <c r="C90" s="5">
        <v>90.339704366940822</v>
      </c>
      <c r="D90" s="5">
        <v>13.583818537788753</v>
      </c>
      <c r="E90" s="5">
        <v>5.6949449551587898</v>
      </c>
      <c r="F90" s="5">
        <v>142.30699750943839</v>
      </c>
      <c r="G90" s="5">
        <v>109.76065470021706</v>
      </c>
      <c r="H90" s="5">
        <v>7.7525091099578152</v>
      </c>
      <c r="I90" s="5">
        <v>1.0901032439190237</v>
      </c>
      <c r="J90" s="5">
        <v>30.457815722026368</v>
      </c>
      <c r="K90" s="5">
        <v>73.195230129699695</v>
      </c>
      <c r="L90" s="5">
        <v>6.6495757550744106</v>
      </c>
      <c r="M90" s="5" t="b">
        <v>0</v>
      </c>
      <c r="N90" s="5" t="b">
        <v>0</v>
      </c>
      <c r="O90" s="5" t="b">
        <v>0</v>
      </c>
      <c r="P90" s="5" t="b">
        <v>0</v>
      </c>
      <c r="Q90" s="5" t="b">
        <v>0</v>
      </c>
      <c r="R90" s="5" t="b">
        <v>0</v>
      </c>
      <c r="S90" s="5" t="b">
        <v>0</v>
      </c>
      <c r="T90" s="5" t="b">
        <v>0</v>
      </c>
      <c r="U90" s="5" t="b">
        <v>0</v>
      </c>
      <c r="V90" s="5" t="b">
        <v>1</v>
      </c>
      <c r="W90" s="5" t="b">
        <v>0</v>
      </c>
      <c r="X90" s="5">
        <v>1</v>
      </c>
      <c r="Y90" s="5">
        <v>0</v>
      </c>
      <c r="Z90" s="5" t="b">
        <v>0</v>
      </c>
      <c r="AA90" s="5">
        <v>2.9460777999999999</v>
      </c>
      <c r="AB90" s="5">
        <v>161.04557156694082</v>
      </c>
    </row>
    <row r="91" spans="2:28" x14ac:dyDescent="0.35">
      <c r="B91" s="5">
        <v>16</v>
      </c>
      <c r="C91" s="5">
        <v>6.0012851371291367</v>
      </c>
      <c r="D91" s="5">
        <v>12.652833447902751</v>
      </c>
      <c r="E91" s="5">
        <v>1.3175536965031363</v>
      </c>
      <c r="F91" s="5">
        <v>132.45942034778565</v>
      </c>
      <c r="G91" s="5">
        <v>107.6771725669788</v>
      </c>
      <c r="H91" s="5">
        <v>9.5370518410594904</v>
      </c>
      <c r="I91" s="5">
        <v>1.2461003860404192</v>
      </c>
      <c r="J91" s="5">
        <v>29.443900108332983</v>
      </c>
      <c r="K91" s="5">
        <v>73.997814329652186</v>
      </c>
      <c r="L91" s="5">
        <v>6.7823249447040919</v>
      </c>
      <c r="M91" s="5" t="b">
        <v>0</v>
      </c>
      <c r="N91" s="5" t="b">
        <v>1</v>
      </c>
      <c r="O91" s="5" t="b">
        <v>0</v>
      </c>
      <c r="P91" s="5" t="b">
        <v>0</v>
      </c>
      <c r="Q91" s="5" t="b">
        <v>0</v>
      </c>
      <c r="R91" s="5" t="b">
        <v>0</v>
      </c>
      <c r="S91" s="5" t="b">
        <v>0</v>
      </c>
      <c r="T91" s="5" t="b">
        <v>0</v>
      </c>
      <c r="U91" s="5" t="b">
        <v>0</v>
      </c>
      <c r="V91" s="5" t="b">
        <v>0</v>
      </c>
      <c r="W91" s="5" t="b">
        <v>0</v>
      </c>
      <c r="X91" s="5">
        <v>1</v>
      </c>
      <c r="Y91" s="5">
        <v>3</v>
      </c>
      <c r="Z91" s="5" t="b">
        <v>0</v>
      </c>
      <c r="AA91" s="5">
        <v>6.5187534999999999</v>
      </c>
      <c r="AB91" s="5">
        <v>162.45136913712915</v>
      </c>
    </row>
    <row r="92" spans="2:28" x14ac:dyDescent="0.35">
      <c r="B92" s="5">
        <v>85</v>
      </c>
      <c r="C92" s="5">
        <v>55.757238168700809</v>
      </c>
      <c r="D92" s="5">
        <v>11.270976636768292</v>
      </c>
      <c r="E92" s="5">
        <v>16.252325587164236</v>
      </c>
      <c r="F92" s="5">
        <v>139.5446734983567</v>
      </c>
      <c r="G92" s="5">
        <v>195.12480553454864</v>
      </c>
      <c r="H92" s="5">
        <v>26.202510708202468</v>
      </c>
      <c r="I92" s="5">
        <v>1.3372193784242346</v>
      </c>
      <c r="J92" s="5">
        <v>30.460559045576488</v>
      </c>
      <c r="K92" s="5">
        <v>66.740690362322624</v>
      </c>
      <c r="L92" s="5">
        <v>6.3644535373832145</v>
      </c>
      <c r="M92" s="5" t="b">
        <v>1</v>
      </c>
      <c r="N92" s="5" t="b">
        <v>0</v>
      </c>
      <c r="O92" s="5" t="b">
        <v>0</v>
      </c>
      <c r="P92" s="5" t="b">
        <v>0</v>
      </c>
      <c r="Q92" s="5" t="b">
        <v>0</v>
      </c>
      <c r="R92" s="5" t="b">
        <v>1</v>
      </c>
      <c r="S92" s="5" t="b">
        <v>0</v>
      </c>
      <c r="T92" s="5" t="b">
        <v>0</v>
      </c>
      <c r="U92" s="5" t="b">
        <v>0</v>
      </c>
      <c r="V92" s="5" t="b">
        <v>0</v>
      </c>
      <c r="W92" s="5" t="b">
        <v>0</v>
      </c>
      <c r="X92" s="5">
        <v>3</v>
      </c>
      <c r="Y92" s="5">
        <v>1</v>
      </c>
      <c r="Z92" s="5" t="b">
        <v>1</v>
      </c>
      <c r="AA92" s="5">
        <v>4.4509850000000002</v>
      </c>
      <c r="AB92" s="5">
        <v>162.58087816870079</v>
      </c>
    </row>
    <row r="93" spans="2:28" x14ac:dyDescent="0.35">
      <c r="B93" s="5">
        <v>78</v>
      </c>
      <c r="C93" s="5">
        <v>57.391351736318818</v>
      </c>
      <c r="D93" s="5">
        <v>8.160109046805438</v>
      </c>
      <c r="E93" s="5">
        <v>8.2553562049975717</v>
      </c>
      <c r="F93" s="5">
        <v>141.77835815287995</v>
      </c>
      <c r="G93" s="5">
        <v>162.26009636133324</v>
      </c>
      <c r="H93" s="5">
        <v>15.565513419666864</v>
      </c>
      <c r="I93" s="5">
        <v>0.91628835754950388</v>
      </c>
      <c r="J93" s="5">
        <v>31.656970341623165</v>
      </c>
      <c r="K93" s="5">
        <v>78.733567172552739</v>
      </c>
      <c r="L93" s="5">
        <v>6.8800278480211867</v>
      </c>
      <c r="M93" s="5" t="b">
        <v>0</v>
      </c>
      <c r="N93" s="5" t="b">
        <v>0</v>
      </c>
      <c r="O93" s="5" t="b">
        <v>0</v>
      </c>
      <c r="P93" s="5" t="b">
        <v>0</v>
      </c>
      <c r="Q93" s="5" t="b">
        <v>0</v>
      </c>
      <c r="R93" s="5" t="b">
        <v>1</v>
      </c>
      <c r="S93" s="5" t="b">
        <v>0</v>
      </c>
      <c r="T93" s="5" t="b">
        <v>0</v>
      </c>
      <c r="U93" s="5" t="b">
        <v>1</v>
      </c>
      <c r="V93" s="5" t="b">
        <v>0</v>
      </c>
      <c r="W93" s="5" t="b">
        <v>0</v>
      </c>
      <c r="X93" s="5">
        <v>2</v>
      </c>
      <c r="Y93" s="5">
        <v>1</v>
      </c>
      <c r="Z93" s="5" t="b">
        <v>1</v>
      </c>
      <c r="AA93" s="5">
        <v>4.5308840000000004</v>
      </c>
      <c r="AB93" s="5">
        <v>166.13256773631883</v>
      </c>
    </row>
    <row r="94" spans="2:28" x14ac:dyDescent="0.35">
      <c r="B94" s="5">
        <v>88</v>
      </c>
      <c r="C94" s="5">
        <v>72.165184591467167</v>
      </c>
      <c r="D94" s="5">
        <v>12.500925245137754</v>
      </c>
      <c r="E94" s="5">
        <v>8.0899164164515884</v>
      </c>
      <c r="F94" s="5">
        <v>142.45594858164708</v>
      </c>
      <c r="G94" s="5">
        <v>134.54518551572397</v>
      </c>
      <c r="H94" s="5">
        <v>20.510917423564155</v>
      </c>
      <c r="I94" s="5">
        <v>1.0186452722165644</v>
      </c>
      <c r="J94" s="5">
        <v>28.065320246025806</v>
      </c>
      <c r="K94" s="5">
        <v>80.225947669178097</v>
      </c>
      <c r="L94" s="5">
        <v>6.372716586597341</v>
      </c>
      <c r="M94" s="5" t="b">
        <v>0</v>
      </c>
      <c r="N94" s="5" t="b">
        <v>0</v>
      </c>
      <c r="O94" s="5" t="b">
        <v>0</v>
      </c>
      <c r="P94" s="5" t="b">
        <v>0</v>
      </c>
      <c r="Q94" s="5" t="b">
        <v>0</v>
      </c>
      <c r="R94" s="5" t="b">
        <v>0</v>
      </c>
      <c r="S94" s="5" t="b">
        <v>0</v>
      </c>
      <c r="T94" s="5" t="b">
        <v>0</v>
      </c>
      <c r="U94" s="5" t="b">
        <v>0</v>
      </c>
      <c r="V94" s="5" t="b">
        <v>0</v>
      </c>
      <c r="W94" s="5" t="b">
        <v>0</v>
      </c>
      <c r="X94" s="5">
        <v>1</v>
      </c>
      <c r="Y94" s="5">
        <v>2</v>
      </c>
      <c r="Z94" s="5" t="b">
        <v>0</v>
      </c>
      <c r="AA94" s="5">
        <v>3.9648200999999998</v>
      </c>
      <c r="AB94" s="5">
        <v>167.32086699146717</v>
      </c>
    </row>
    <row r="95" spans="2:28" x14ac:dyDescent="0.35">
      <c r="B95" s="5">
        <v>91</v>
      </c>
      <c r="C95" s="5">
        <v>79.234926000804037</v>
      </c>
      <c r="D95" s="5">
        <v>13.053834765575575</v>
      </c>
      <c r="E95" s="5">
        <v>10.745457247329625</v>
      </c>
      <c r="F95" s="5">
        <v>132.70570372243938</v>
      </c>
      <c r="G95" s="5">
        <v>182.02695933384518</v>
      </c>
      <c r="H95" s="5">
        <v>14.056587421237696</v>
      </c>
      <c r="I95" s="5">
        <v>1.3256777653844765</v>
      </c>
      <c r="J95" s="5">
        <v>26.797153028186877</v>
      </c>
      <c r="K95" s="5">
        <v>70.834345895394335</v>
      </c>
      <c r="L95" s="5">
        <v>6.4119928565027156</v>
      </c>
      <c r="M95" s="5" t="b">
        <v>0</v>
      </c>
      <c r="N95" s="5" t="b">
        <v>0</v>
      </c>
      <c r="O95" s="5" t="b">
        <v>0</v>
      </c>
      <c r="P95" s="5" t="b">
        <v>0</v>
      </c>
      <c r="Q95" s="5" t="b">
        <v>0</v>
      </c>
      <c r="R95" s="5" t="b">
        <v>0</v>
      </c>
      <c r="S95" s="5" t="b">
        <v>0</v>
      </c>
      <c r="T95" s="5" t="b">
        <v>0</v>
      </c>
      <c r="U95" s="5" t="b">
        <v>0</v>
      </c>
      <c r="V95" s="5" t="b">
        <v>0</v>
      </c>
      <c r="W95" s="5" t="b">
        <v>0</v>
      </c>
      <c r="X95" s="5">
        <v>1</v>
      </c>
      <c r="Y95" s="5">
        <v>1</v>
      </c>
      <c r="Z95" s="5" t="b">
        <v>1</v>
      </c>
      <c r="AA95" s="5">
        <v>3.6876660000000001</v>
      </c>
      <c r="AB95" s="5">
        <v>167.73891000080403</v>
      </c>
    </row>
    <row r="96" spans="2:28" x14ac:dyDescent="0.35">
      <c r="B96" s="5">
        <v>79</v>
      </c>
      <c r="C96" s="5">
        <v>59.112388504838435</v>
      </c>
      <c r="D96" s="5">
        <v>13.88665980169986</v>
      </c>
      <c r="E96" s="5">
        <v>10.848599258681848</v>
      </c>
      <c r="F96" s="5">
        <v>136.11694972672731</v>
      </c>
      <c r="G96" s="5">
        <v>128.20702739547613</v>
      </c>
      <c r="H96" s="5">
        <v>11.2217277314497</v>
      </c>
      <c r="I96" s="5">
        <v>0.96711204711491816</v>
      </c>
      <c r="J96" s="5">
        <v>28.663086647999254</v>
      </c>
      <c r="K96" s="5">
        <v>51.920697499027391</v>
      </c>
      <c r="L96" s="5">
        <v>5.9905201959213832</v>
      </c>
      <c r="M96" s="5" t="b">
        <v>0</v>
      </c>
      <c r="N96" s="5" t="b">
        <v>0</v>
      </c>
      <c r="O96" s="5" t="b">
        <v>0</v>
      </c>
      <c r="P96" s="5" t="b">
        <v>0</v>
      </c>
      <c r="Q96" s="5" t="b">
        <v>0</v>
      </c>
      <c r="R96" s="5" t="b">
        <v>0</v>
      </c>
      <c r="S96" s="5" t="b">
        <v>0</v>
      </c>
      <c r="T96" s="5" t="b">
        <v>1</v>
      </c>
      <c r="U96" s="5" t="b">
        <v>0</v>
      </c>
      <c r="V96" s="5" t="b">
        <v>0</v>
      </c>
      <c r="W96" s="5" t="b">
        <v>0</v>
      </c>
      <c r="X96" s="5">
        <v>0</v>
      </c>
      <c r="Y96" s="5">
        <v>1</v>
      </c>
      <c r="Z96" s="5" t="b">
        <v>0</v>
      </c>
      <c r="AA96" s="5">
        <v>4.6495714000000001</v>
      </c>
      <c r="AB96" s="5">
        <v>170.70210210483845</v>
      </c>
    </row>
    <row r="97" spans="2:96" x14ac:dyDescent="0.35">
      <c r="B97" s="5">
        <v>116</v>
      </c>
      <c r="C97" s="5">
        <v>112.42908838904154</v>
      </c>
      <c r="D97" s="5">
        <v>10.151568278911032</v>
      </c>
      <c r="E97" s="5">
        <v>22.345895967008417</v>
      </c>
      <c r="F97" s="5">
        <v>135.7761895766852</v>
      </c>
      <c r="G97" s="5">
        <v>158.88319135955985</v>
      </c>
      <c r="H97" s="5">
        <v>2.2900931688064698</v>
      </c>
      <c r="I97" s="5">
        <v>0.95027880626545735</v>
      </c>
      <c r="J97" s="5">
        <v>30.617313350960416</v>
      </c>
      <c r="K97" s="5">
        <v>77.170228336703062</v>
      </c>
      <c r="L97" s="5">
        <v>6.7763206979645494</v>
      </c>
      <c r="M97" s="5" t="b">
        <v>0</v>
      </c>
      <c r="N97" s="5" t="b">
        <v>0</v>
      </c>
      <c r="O97" s="5" t="b">
        <v>0</v>
      </c>
      <c r="P97" s="5" t="b">
        <v>0</v>
      </c>
      <c r="Q97" s="5" t="b">
        <v>0</v>
      </c>
      <c r="R97" s="5" t="b">
        <v>0</v>
      </c>
      <c r="S97" s="5" t="b">
        <v>0</v>
      </c>
      <c r="T97" s="5" t="b">
        <v>0</v>
      </c>
      <c r="U97" s="5" t="b">
        <v>0</v>
      </c>
      <c r="V97" s="5" t="b">
        <v>0</v>
      </c>
      <c r="W97" s="5" t="b">
        <v>0</v>
      </c>
      <c r="X97" s="5">
        <v>0</v>
      </c>
      <c r="Y97" s="5">
        <v>1</v>
      </c>
      <c r="Z97" s="5" t="b">
        <v>1</v>
      </c>
      <c r="AA97" s="5">
        <v>2.5136530000000001</v>
      </c>
      <c r="AB97" s="5">
        <v>172.75676038904155</v>
      </c>
    </row>
    <row r="98" spans="2:96" x14ac:dyDescent="0.35">
      <c r="B98" s="5">
        <v>113</v>
      </c>
      <c r="C98" s="5">
        <v>110.11395117973487</v>
      </c>
      <c r="D98" s="5">
        <v>9.90245897245123</v>
      </c>
      <c r="E98" s="5">
        <v>5.5237030291208233</v>
      </c>
      <c r="F98" s="5">
        <v>131.46238354235706</v>
      </c>
      <c r="G98" s="5">
        <v>154.79206171015809</v>
      </c>
      <c r="H98" s="5">
        <v>2.9183454800788233</v>
      </c>
      <c r="I98" s="5">
        <v>1.0878510592307096</v>
      </c>
      <c r="J98" s="5">
        <v>32.923170967233368</v>
      </c>
      <c r="K98" s="5">
        <v>65.476789113636059</v>
      </c>
      <c r="L98" s="5">
        <v>6.1112255285570614</v>
      </c>
      <c r="M98" s="5" t="b">
        <v>0</v>
      </c>
      <c r="N98" s="5" t="b">
        <v>0</v>
      </c>
      <c r="O98" s="5" t="b">
        <v>0</v>
      </c>
      <c r="P98" s="5" t="b">
        <v>0</v>
      </c>
      <c r="Q98" s="5" t="b">
        <v>0</v>
      </c>
      <c r="R98" s="5" t="b">
        <v>0</v>
      </c>
      <c r="S98" s="5" t="b">
        <v>0</v>
      </c>
      <c r="T98" s="5" t="b">
        <v>0</v>
      </c>
      <c r="U98" s="5" t="b">
        <v>0</v>
      </c>
      <c r="V98" s="5" t="b">
        <v>0</v>
      </c>
      <c r="W98" s="5" t="b">
        <v>0</v>
      </c>
      <c r="X98" s="5">
        <v>1</v>
      </c>
      <c r="Y98" s="5">
        <v>0</v>
      </c>
      <c r="Z98" s="5" t="b">
        <v>1</v>
      </c>
      <c r="AA98" s="5">
        <v>2.6312658999999998</v>
      </c>
      <c r="AB98" s="5">
        <v>173.26433277973487</v>
      </c>
    </row>
    <row r="99" spans="2:96" x14ac:dyDescent="0.35">
      <c r="B99" s="5">
        <v>97</v>
      </c>
      <c r="C99" s="5">
        <v>88.82899891648924</v>
      </c>
      <c r="D99" s="5">
        <v>9.5126216085838795</v>
      </c>
      <c r="E99" s="5">
        <v>11.008001662855886</v>
      </c>
      <c r="F99" s="5">
        <v>134.42095234483202</v>
      </c>
      <c r="G99" s="5">
        <v>150.22669151761247</v>
      </c>
      <c r="H99" s="5">
        <v>18.318671884782383</v>
      </c>
      <c r="I99" s="5">
        <v>0.67603026892641327</v>
      </c>
      <c r="J99" s="5">
        <v>31.187600141525156</v>
      </c>
      <c r="K99" s="5">
        <v>73.022791117276498</v>
      </c>
      <c r="L99" s="5">
        <v>6.2532329451024209</v>
      </c>
      <c r="M99" s="5" t="b">
        <v>0</v>
      </c>
      <c r="N99" s="5" t="b">
        <v>0</v>
      </c>
      <c r="O99" s="5" t="b">
        <v>0</v>
      </c>
      <c r="P99" s="5" t="b">
        <v>0</v>
      </c>
      <c r="Q99" s="5" t="b">
        <v>0</v>
      </c>
      <c r="R99" s="5" t="b">
        <v>0</v>
      </c>
      <c r="S99" s="5" t="b">
        <v>0</v>
      </c>
      <c r="T99" s="5" t="b">
        <v>0</v>
      </c>
      <c r="U99" s="5" t="b">
        <v>1</v>
      </c>
      <c r="V99" s="5" t="b">
        <v>0</v>
      </c>
      <c r="W99" s="5" t="b">
        <v>0</v>
      </c>
      <c r="X99" s="5">
        <v>1</v>
      </c>
      <c r="Y99" s="5">
        <v>0</v>
      </c>
      <c r="Z99" s="5" t="b">
        <v>0</v>
      </c>
      <c r="AA99" s="5">
        <v>3.5287053999999998</v>
      </c>
      <c r="AB99" s="5">
        <v>173.51792851648923</v>
      </c>
    </row>
    <row r="100" spans="2:96" x14ac:dyDescent="0.35">
      <c r="B100" s="5">
        <v>28</v>
      </c>
      <c r="C100" s="5">
        <v>12.000358091308383</v>
      </c>
      <c r="D100" s="5">
        <v>11.458403554509918</v>
      </c>
      <c r="E100" s="5">
        <v>19.294330226705309</v>
      </c>
      <c r="F100" s="5">
        <v>133.97186701165782</v>
      </c>
      <c r="G100" s="5">
        <v>164.04296891973132</v>
      </c>
      <c r="H100" s="5">
        <v>20.187905287311839</v>
      </c>
      <c r="I100" s="5">
        <v>1.3055530530511534</v>
      </c>
      <c r="J100" s="5">
        <v>29.110598379288877</v>
      </c>
      <c r="K100" s="5">
        <v>52.550525683296307</v>
      </c>
      <c r="L100" s="5">
        <v>5.6120275760671579</v>
      </c>
      <c r="M100" s="5" t="b">
        <v>0</v>
      </c>
      <c r="N100" s="5" t="b">
        <v>0</v>
      </c>
      <c r="O100" s="5" t="b">
        <v>1</v>
      </c>
      <c r="P100" s="5" t="b">
        <v>0</v>
      </c>
      <c r="Q100" s="5" t="b">
        <v>0</v>
      </c>
      <c r="R100" s="5" t="b">
        <v>0</v>
      </c>
      <c r="S100" s="5" t="b">
        <v>0</v>
      </c>
      <c r="T100" s="5" t="b">
        <v>0</v>
      </c>
      <c r="U100" s="5" t="b">
        <v>0</v>
      </c>
      <c r="V100" s="5" t="b">
        <v>0</v>
      </c>
      <c r="W100" s="5" t="b">
        <v>0</v>
      </c>
      <c r="X100" s="5">
        <v>1</v>
      </c>
      <c r="Y100" s="5">
        <v>1</v>
      </c>
      <c r="Z100" s="5" t="b">
        <v>0</v>
      </c>
      <c r="AA100" s="5">
        <v>6.8190093000000003</v>
      </c>
      <c r="AB100" s="5">
        <v>175.65658129130841</v>
      </c>
      <c r="CR100" t="s">
        <v>0</v>
      </c>
    </row>
    <row r="101" spans="2:96" x14ac:dyDescent="0.35">
      <c r="B101" s="5">
        <v>110</v>
      </c>
      <c r="C101" s="5">
        <v>107.09576561404819</v>
      </c>
      <c r="D101" s="5">
        <v>11.620129335311075</v>
      </c>
      <c r="E101" s="5">
        <v>6.068401192323897</v>
      </c>
      <c r="F101" s="5">
        <v>139.99016241023435</v>
      </c>
      <c r="G101" s="5">
        <v>176.91350574208678</v>
      </c>
      <c r="H101" s="5">
        <v>9.5516080206718996</v>
      </c>
      <c r="I101" s="5">
        <v>0.73675970108112532</v>
      </c>
      <c r="J101" s="5">
        <v>27.930809564841642</v>
      </c>
      <c r="K101" s="5">
        <v>74.770932908316126</v>
      </c>
      <c r="L101" s="5">
        <v>6.4888747779589027</v>
      </c>
      <c r="M101" s="5" t="b">
        <v>0</v>
      </c>
      <c r="N101" s="5" t="b">
        <v>0</v>
      </c>
      <c r="O101" s="5" t="b">
        <v>0</v>
      </c>
      <c r="P101" s="5" t="b">
        <v>0</v>
      </c>
      <c r="Q101" s="5" t="b">
        <v>1</v>
      </c>
      <c r="R101" s="5" t="b">
        <v>0</v>
      </c>
      <c r="S101" s="5" t="b">
        <v>0</v>
      </c>
      <c r="T101" s="5" t="b">
        <v>0</v>
      </c>
      <c r="U101" s="5" t="b">
        <v>1</v>
      </c>
      <c r="V101" s="5" t="b">
        <v>0</v>
      </c>
      <c r="W101" s="5" t="b">
        <v>0</v>
      </c>
      <c r="X101" s="5">
        <v>0</v>
      </c>
      <c r="Y101" s="5">
        <v>0</v>
      </c>
      <c r="Z101" s="5" t="b">
        <v>0</v>
      </c>
      <c r="AA101" s="5">
        <v>2.8586087</v>
      </c>
      <c r="AB101" s="5">
        <v>175.70237441404819</v>
      </c>
    </row>
    <row r="102" spans="2:96" x14ac:dyDescent="0.35">
      <c r="B102" s="5">
        <v>82</v>
      </c>
      <c r="C102" s="5">
        <v>61.074143334544061</v>
      </c>
      <c r="D102" s="5">
        <v>11.936168364579823</v>
      </c>
      <c r="E102" s="5">
        <v>12.777748593552726</v>
      </c>
      <c r="F102" s="5">
        <v>134.69114914584191</v>
      </c>
      <c r="G102" s="5">
        <v>135.11851318470175</v>
      </c>
      <c r="H102" s="5">
        <v>27.23861678214875</v>
      </c>
      <c r="I102" s="5">
        <v>0.92825641709138573</v>
      </c>
      <c r="J102" s="5">
        <v>31.884855718122349</v>
      </c>
      <c r="K102" s="5">
        <v>69.77730757719921</v>
      </c>
      <c r="L102" s="5">
        <v>6.7847952472864499</v>
      </c>
      <c r="M102" s="5" t="b">
        <v>0</v>
      </c>
      <c r="N102" s="5" t="b">
        <v>0</v>
      </c>
      <c r="O102" s="5" t="b">
        <v>0</v>
      </c>
      <c r="P102" s="5" t="b">
        <v>0</v>
      </c>
      <c r="Q102" s="5" t="b">
        <v>0</v>
      </c>
      <c r="R102" s="5" t="b">
        <v>1</v>
      </c>
      <c r="S102" s="5" t="b">
        <v>0</v>
      </c>
      <c r="T102" s="5" t="b">
        <v>0</v>
      </c>
      <c r="U102" s="5" t="b">
        <v>0</v>
      </c>
      <c r="V102" s="5" t="b">
        <v>0</v>
      </c>
      <c r="W102" s="5" t="b">
        <v>0</v>
      </c>
      <c r="X102" s="5">
        <v>2</v>
      </c>
      <c r="Y102" s="5">
        <v>2</v>
      </c>
      <c r="Z102" s="5" t="b">
        <v>0</v>
      </c>
      <c r="AA102" s="5">
        <v>4.8973335999999996</v>
      </c>
      <c r="AB102" s="5">
        <v>178.61014973454405</v>
      </c>
    </row>
    <row r="103" spans="2:96" x14ac:dyDescent="0.35">
      <c r="B103" s="5">
        <v>94</v>
      </c>
      <c r="C103" s="5">
        <v>84.188083740104361</v>
      </c>
      <c r="D103" s="5">
        <v>9.8276966222744928</v>
      </c>
      <c r="E103" s="5">
        <v>10.059119021986277</v>
      </c>
      <c r="F103" s="5">
        <v>143.19166127635324</v>
      </c>
      <c r="G103" s="5">
        <v>134.61484270825437</v>
      </c>
      <c r="H103" s="5">
        <v>25.541669586756786</v>
      </c>
      <c r="I103" s="5">
        <v>1.3364165936465549</v>
      </c>
      <c r="J103" s="5">
        <v>30.216739528155703</v>
      </c>
      <c r="K103" s="5">
        <v>82.494790440471149</v>
      </c>
      <c r="L103" s="5">
        <v>6.4147480907166372</v>
      </c>
      <c r="M103" s="5" t="b">
        <v>0</v>
      </c>
      <c r="N103" s="5" t="b">
        <v>0</v>
      </c>
      <c r="O103" s="5" t="b">
        <v>0</v>
      </c>
      <c r="P103" s="5" t="b">
        <v>0</v>
      </c>
      <c r="Q103" s="5" t="b">
        <v>0</v>
      </c>
      <c r="R103" s="5" t="b">
        <v>1</v>
      </c>
      <c r="S103" s="5" t="b">
        <v>0</v>
      </c>
      <c r="T103" s="5" t="b">
        <v>0</v>
      </c>
      <c r="U103" s="5" t="b">
        <v>0</v>
      </c>
      <c r="V103" s="5" t="b">
        <v>0</v>
      </c>
      <c r="W103" s="5" t="b">
        <v>0</v>
      </c>
      <c r="X103" s="5">
        <v>1</v>
      </c>
      <c r="Y103" s="5">
        <v>0</v>
      </c>
      <c r="Z103" s="5" t="b">
        <v>0</v>
      </c>
      <c r="AA103" s="5">
        <v>4.2908244</v>
      </c>
      <c r="AB103" s="5">
        <v>187.16786934010435</v>
      </c>
    </row>
    <row r="104" spans="2:96" x14ac:dyDescent="0.35">
      <c r="B104" s="5">
        <v>119</v>
      </c>
      <c r="C104" s="5">
        <v>118.59610239461402</v>
      </c>
      <c r="D104" s="5">
        <v>12.649839374701713</v>
      </c>
      <c r="E104" s="5">
        <v>10.403754333549143</v>
      </c>
      <c r="F104" s="5">
        <v>140.64571216902036</v>
      </c>
      <c r="G104" s="5">
        <v>145.81540289529045</v>
      </c>
      <c r="H104" s="5">
        <v>6.2901126395201068</v>
      </c>
      <c r="I104" s="5">
        <v>1.1974913176931086</v>
      </c>
      <c r="J104" s="5">
        <v>27.694735533059408</v>
      </c>
      <c r="K104" s="5">
        <v>86.555310703284121</v>
      </c>
      <c r="L104" s="5">
        <v>6.5826372467174066</v>
      </c>
      <c r="M104" s="5" t="b">
        <v>1</v>
      </c>
      <c r="N104" s="5" t="b">
        <v>0</v>
      </c>
      <c r="O104" s="5" t="b">
        <v>0</v>
      </c>
      <c r="P104" s="5" t="b">
        <v>0</v>
      </c>
      <c r="Q104" s="5" t="b">
        <v>0</v>
      </c>
      <c r="R104" s="5" t="b">
        <v>0</v>
      </c>
      <c r="S104" s="5" t="b">
        <v>0</v>
      </c>
      <c r="T104" s="5" t="b">
        <v>0</v>
      </c>
      <c r="U104" s="5" t="b">
        <v>0</v>
      </c>
      <c r="V104" s="5" t="b">
        <v>0</v>
      </c>
      <c r="W104" s="5" t="b">
        <v>0</v>
      </c>
      <c r="X104" s="5">
        <v>1</v>
      </c>
      <c r="Y104" s="5">
        <v>0</v>
      </c>
      <c r="Z104" s="5" t="b">
        <v>1</v>
      </c>
      <c r="AA104" s="5">
        <v>3.0077486000000002</v>
      </c>
      <c r="AB104" s="5">
        <v>190.78206879461402</v>
      </c>
    </row>
    <row r="105" spans="2:96" x14ac:dyDescent="0.35">
      <c r="B105" s="5">
        <v>147</v>
      </c>
      <c r="C105" s="5">
        <v>151.24384781046717</v>
      </c>
      <c r="D105" s="5">
        <v>12.139898492896355</v>
      </c>
      <c r="E105" s="5">
        <v>18.375150024235026</v>
      </c>
      <c r="F105" s="5">
        <v>136.60085598531808</v>
      </c>
      <c r="G105" s="5">
        <v>91.109959382148588</v>
      </c>
      <c r="H105" s="5">
        <v>2.2763550470134071</v>
      </c>
      <c r="I105" s="5">
        <v>1.0674715256288156</v>
      </c>
      <c r="J105" s="5">
        <v>25.729426685912074</v>
      </c>
      <c r="K105" s="5">
        <v>70.354376073487543</v>
      </c>
      <c r="L105" s="5">
        <v>6.1858859643520123</v>
      </c>
      <c r="M105" s="5" t="b">
        <v>0</v>
      </c>
      <c r="N105" s="5" t="b">
        <v>0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5" t="b">
        <v>0</v>
      </c>
      <c r="V105" s="5" t="b">
        <v>0</v>
      </c>
      <c r="W105" s="5" t="b">
        <v>0</v>
      </c>
      <c r="X105" s="5">
        <v>1</v>
      </c>
      <c r="Y105" s="5">
        <v>0</v>
      </c>
      <c r="Z105" s="5" t="b">
        <v>1</v>
      </c>
      <c r="AA105" s="5">
        <v>1.7584251000000002</v>
      </c>
      <c r="AB105" s="5">
        <v>193.44605021046718</v>
      </c>
    </row>
    <row r="106" spans="2:96" x14ac:dyDescent="0.35">
      <c r="B106" s="5">
        <v>92</v>
      </c>
      <c r="C106" s="5">
        <v>79.487226835323128</v>
      </c>
      <c r="D106" s="5">
        <v>10.674631540133939</v>
      </c>
      <c r="E106" s="5">
        <v>17.561707549101911</v>
      </c>
      <c r="F106" s="5">
        <v>137.97835763199248</v>
      </c>
      <c r="G106" s="5">
        <v>179.66891664981108</v>
      </c>
      <c r="H106" s="5">
        <v>16.607352173562557</v>
      </c>
      <c r="I106" s="5">
        <v>1.1025923200595973</v>
      </c>
      <c r="J106" s="5">
        <v>31.043288120048341</v>
      </c>
      <c r="K106" s="5">
        <v>80.426813055368228</v>
      </c>
      <c r="L106" s="5">
        <v>6.7390526569465283</v>
      </c>
      <c r="M106" s="5" t="b">
        <v>0</v>
      </c>
      <c r="N106" s="5" t="b">
        <v>0</v>
      </c>
      <c r="O106" s="5" t="b">
        <v>0</v>
      </c>
      <c r="P106" s="5" t="b">
        <v>0</v>
      </c>
      <c r="Q106" s="5" t="b">
        <v>0</v>
      </c>
      <c r="R106" s="5" t="b">
        <v>1</v>
      </c>
      <c r="S106" s="5" t="b">
        <v>0</v>
      </c>
      <c r="T106" s="5" t="b">
        <v>0</v>
      </c>
      <c r="U106" s="5" t="b">
        <v>0</v>
      </c>
      <c r="V106" s="5" t="b">
        <v>0</v>
      </c>
      <c r="W106" s="5" t="b">
        <v>0</v>
      </c>
      <c r="X106" s="5">
        <v>2</v>
      </c>
      <c r="Y106" s="5">
        <v>1</v>
      </c>
      <c r="Z106" s="5" t="b">
        <v>0</v>
      </c>
      <c r="AA106" s="5">
        <v>4.7653645999999998</v>
      </c>
      <c r="AB106" s="5">
        <v>193.85597723532311</v>
      </c>
    </row>
    <row r="107" spans="2:96" x14ac:dyDescent="0.35">
      <c r="B107" s="5">
        <v>141</v>
      </c>
      <c r="C107" s="5">
        <v>144.05278921504211</v>
      </c>
      <c r="D107" s="5">
        <v>12.519183331878434</v>
      </c>
      <c r="E107" s="5">
        <v>9.6864788287277452</v>
      </c>
      <c r="F107" s="5">
        <v>137.58643416802448</v>
      </c>
      <c r="G107" s="5">
        <v>131.84978299061905</v>
      </c>
      <c r="H107" s="5">
        <v>11.351553759377932</v>
      </c>
      <c r="I107" s="5">
        <v>1.3200576908579322</v>
      </c>
      <c r="J107" s="5">
        <v>25.642832179878837</v>
      </c>
      <c r="K107" s="5">
        <v>69.38409630337928</v>
      </c>
      <c r="L107" s="5">
        <v>6.6879971159324434</v>
      </c>
      <c r="M107" s="5" t="b">
        <v>0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5" t="b">
        <v>0</v>
      </c>
      <c r="X107" s="5">
        <v>1</v>
      </c>
      <c r="Y107" s="5">
        <v>1</v>
      </c>
      <c r="Z107" s="5" t="b">
        <v>1</v>
      </c>
      <c r="AA107" s="5">
        <v>2.1551339999999999</v>
      </c>
      <c r="AB107" s="5">
        <v>195.77600521504212</v>
      </c>
    </row>
    <row r="108" spans="2:96" x14ac:dyDescent="0.35">
      <c r="B108" s="5">
        <v>106</v>
      </c>
      <c r="C108" s="5">
        <v>102.57351318888554</v>
      </c>
      <c r="D108" s="5">
        <v>12.631833153557883</v>
      </c>
      <c r="E108" s="5">
        <v>10.218603540623748</v>
      </c>
      <c r="F108" s="5">
        <v>136.86696357151087</v>
      </c>
      <c r="G108" s="5">
        <v>158.34662299591324</v>
      </c>
      <c r="H108" s="5">
        <v>20.088939165749935</v>
      </c>
      <c r="I108" s="5">
        <v>1.042855284744366</v>
      </c>
      <c r="J108" s="5">
        <v>29.410305643090542</v>
      </c>
      <c r="K108" s="5">
        <v>56.107836185161631</v>
      </c>
      <c r="L108" s="5">
        <v>7.0829890408287346</v>
      </c>
      <c r="M108" s="5" t="b">
        <v>0</v>
      </c>
      <c r="N108" s="5" t="b">
        <v>0</v>
      </c>
      <c r="O108" s="5" t="b">
        <v>0</v>
      </c>
      <c r="P108" s="5" t="b">
        <v>0</v>
      </c>
      <c r="Q108" s="5" t="b">
        <v>0</v>
      </c>
      <c r="R108" s="5" t="b">
        <v>0</v>
      </c>
      <c r="S108" s="5" t="b">
        <v>0</v>
      </c>
      <c r="T108" s="5" t="b">
        <v>0</v>
      </c>
      <c r="U108" s="5" t="b">
        <v>0</v>
      </c>
      <c r="V108" s="5" t="b">
        <v>1</v>
      </c>
      <c r="W108" s="5" t="b">
        <v>0</v>
      </c>
      <c r="X108" s="5">
        <v>2</v>
      </c>
      <c r="Y108" s="5">
        <v>1</v>
      </c>
      <c r="Z108" s="5" t="b">
        <v>0</v>
      </c>
      <c r="AA108" s="5">
        <v>3.9007284999999996</v>
      </c>
      <c r="AB108" s="5">
        <v>196.19099718888555</v>
      </c>
    </row>
    <row r="109" spans="2:96" x14ac:dyDescent="0.35">
      <c r="B109" s="5">
        <v>109</v>
      </c>
      <c r="C109" s="5">
        <v>106.20500795060849</v>
      </c>
      <c r="D109" s="5">
        <v>11.041368965758153</v>
      </c>
      <c r="E109" s="5">
        <v>9.435542795030111</v>
      </c>
      <c r="F109" s="5">
        <v>138.2298913999048</v>
      </c>
      <c r="G109" s="5">
        <v>180.68436420064762</v>
      </c>
      <c r="H109" s="5">
        <v>20.56661470991088</v>
      </c>
      <c r="I109" s="5">
        <v>1.1223736264745043</v>
      </c>
      <c r="J109" s="5">
        <v>28.518874258654581</v>
      </c>
      <c r="K109" s="5">
        <v>77.794468574656378</v>
      </c>
      <c r="L109" s="5">
        <v>6.199068491287826</v>
      </c>
      <c r="M109" s="5" t="b">
        <v>0</v>
      </c>
      <c r="N109" s="5" t="b">
        <v>0</v>
      </c>
      <c r="O109" s="5" t="b">
        <v>0</v>
      </c>
      <c r="P109" s="5" t="b">
        <v>0</v>
      </c>
      <c r="Q109" s="5" t="b">
        <v>0</v>
      </c>
      <c r="R109" s="5" t="b">
        <v>0</v>
      </c>
      <c r="S109" s="5" t="b">
        <v>0</v>
      </c>
      <c r="T109" s="5" t="b">
        <v>0</v>
      </c>
      <c r="U109" s="5" t="b">
        <v>0</v>
      </c>
      <c r="V109" s="5" t="b">
        <v>0</v>
      </c>
      <c r="W109" s="5" t="b">
        <v>0</v>
      </c>
      <c r="X109" s="5">
        <v>2</v>
      </c>
      <c r="Y109" s="5">
        <v>2</v>
      </c>
      <c r="Z109" s="5" t="b">
        <v>1</v>
      </c>
      <c r="AA109" s="5">
        <v>3.7863882000000002</v>
      </c>
      <c r="AB109" s="5">
        <v>197.07832475060849</v>
      </c>
    </row>
    <row r="110" spans="2:96" x14ac:dyDescent="0.35">
      <c r="B110" s="5">
        <v>99</v>
      </c>
      <c r="C110" s="5">
        <v>90.885589851094153</v>
      </c>
      <c r="D110" s="5">
        <v>12.361538392558773</v>
      </c>
      <c r="E110" s="5">
        <v>0.61383878064976116</v>
      </c>
      <c r="F110" s="5">
        <v>133.35386390163575</v>
      </c>
      <c r="G110" s="5">
        <v>168.71751977467943</v>
      </c>
      <c r="H110" s="5">
        <v>23.383541541857159</v>
      </c>
      <c r="I110" s="5">
        <v>1.7235517423267326</v>
      </c>
      <c r="J110" s="5">
        <v>31.168523339079066</v>
      </c>
      <c r="K110" s="5">
        <v>82.119939772051794</v>
      </c>
      <c r="L110" s="5">
        <v>5.8619843627123496</v>
      </c>
      <c r="M110" s="5" t="b">
        <v>0</v>
      </c>
      <c r="N110" s="5" t="b">
        <v>0</v>
      </c>
      <c r="O110" s="5" t="b">
        <v>1</v>
      </c>
      <c r="P110" s="5" t="b">
        <v>0</v>
      </c>
      <c r="Q110" s="5" t="b">
        <v>0</v>
      </c>
      <c r="R110" s="5" t="b">
        <v>1</v>
      </c>
      <c r="S110" s="5" t="b">
        <v>0</v>
      </c>
      <c r="T110" s="5" t="b">
        <v>0</v>
      </c>
      <c r="U110" s="5" t="b">
        <v>0</v>
      </c>
      <c r="V110" s="5" t="b">
        <v>0</v>
      </c>
      <c r="W110" s="5" t="b">
        <v>0</v>
      </c>
      <c r="X110" s="5">
        <v>1</v>
      </c>
      <c r="Y110" s="5">
        <v>0</v>
      </c>
      <c r="Z110" s="5" t="b">
        <v>1</v>
      </c>
      <c r="AA110" s="5">
        <v>4.5456880000000002</v>
      </c>
      <c r="AB110" s="5">
        <v>199.98210185109417</v>
      </c>
    </row>
    <row r="111" spans="2:96" x14ac:dyDescent="0.35">
      <c r="B111" s="5">
        <v>111</v>
      </c>
      <c r="C111" s="5">
        <v>108.554104700095</v>
      </c>
      <c r="D111" s="5">
        <v>11.094710894446258</v>
      </c>
      <c r="E111" s="5">
        <v>12.792010310252337</v>
      </c>
      <c r="F111" s="5">
        <v>140.51471257621574</v>
      </c>
      <c r="G111" s="5">
        <v>167.10316059992269</v>
      </c>
      <c r="H111" s="5">
        <v>9.8556145103018782</v>
      </c>
      <c r="I111" s="5">
        <v>1.0792168662993049</v>
      </c>
      <c r="J111" s="5">
        <v>31.040717602585346</v>
      </c>
      <c r="K111" s="5">
        <v>72.978612379110686</v>
      </c>
      <c r="L111" s="5">
        <v>6.3926083267644671</v>
      </c>
      <c r="M111" s="5" t="b">
        <v>0</v>
      </c>
      <c r="N111" s="5" t="b">
        <v>0</v>
      </c>
      <c r="O111" s="5" t="b">
        <v>0</v>
      </c>
      <c r="P111" s="5" t="b">
        <v>0</v>
      </c>
      <c r="Q111" s="5" t="b">
        <v>0</v>
      </c>
      <c r="R111" s="5" t="b">
        <v>0</v>
      </c>
      <c r="S111" s="5" t="b">
        <v>0</v>
      </c>
      <c r="T111" s="5" t="b">
        <v>0</v>
      </c>
      <c r="U111" s="5" t="b">
        <v>0</v>
      </c>
      <c r="V111" s="5" t="b">
        <v>0</v>
      </c>
      <c r="W111" s="5" t="b">
        <v>0</v>
      </c>
      <c r="X111" s="5">
        <v>1</v>
      </c>
      <c r="Y111" s="5">
        <v>2</v>
      </c>
      <c r="Z111" s="5" t="b">
        <v>1</v>
      </c>
      <c r="AA111" s="5">
        <v>3.9285727000000001</v>
      </c>
      <c r="AB111" s="5">
        <v>202.839849500095</v>
      </c>
    </row>
    <row r="112" spans="2:96" x14ac:dyDescent="0.35">
      <c r="B112" s="5">
        <v>133</v>
      </c>
      <c r="C112" s="5">
        <v>132.69497622242633</v>
      </c>
      <c r="D112" s="5">
        <v>11.107984418031482</v>
      </c>
      <c r="E112" s="5">
        <v>10.589651146132255</v>
      </c>
      <c r="F112" s="5">
        <v>139.88690056999263</v>
      </c>
      <c r="G112" s="5">
        <v>164.57215388675115</v>
      </c>
      <c r="H112" s="5">
        <v>26.76336418752232</v>
      </c>
      <c r="I112" s="5">
        <v>1.1106300521366457</v>
      </c>
      <c r="J112" s="5">
        <v>28.582769189255878</v>
      </c>
      <c r="K112" s="5">
        <v>88.195344617864805</v>
      </c>
      <c r="L112" s="5">
        <v>5.9947599469193182</v>
      </c>
      <c r="M112" s="5" t="b">
        <v>0</v>
      </c>
      <c r="N112" s="5" t="b">
        <v>0</v>
      </c>
      <c r="O112" s="5" t="b">
        <v>0</v>
      </c>
      <c r="P112" s="5" t="b">
        <v>0</v>
      </c>
      <c r="Q112" s="5" t="b">
        <v>0</v>
      </c>
      <c r="R112" s="5" t="b">
        <v>0</v>
      </c>
      <c r="S112" s="5" t="b">
        <v>1</v>
      </c>
      <c r="T112" s="5" t="b">
        <v>0</v>
      </c>
      <c r="U112" s="5" t="b">
        <v>0</v>
      </c>
      <c r="V112" s="5" t="b">
        <v>0</v>
      </c>
      <c r="W112" s="5" t="b">
        <v>0</v>
      </c>
      <c r="X112" s="5">
        <v>1</v>
      </c>
      <c r="Y112" s="5">
        <v>0</v>
      </c>
      <c r="Z112" s="5" t="b">
        <v>0</v>
      </c>
      <c r="AA112" s="5">
        <v>3.0111696999999999</v>
      </c>
      <c r="AB112" s="5">
        <v>204.96304902242633</v>
      </c>
    </row>
    <row r="113" spans="2:28" x14ac:dyDescent="0.35">
      <c r="B113" s="5">
        <v>84</v>
      </c>
      <c r="C113" s="5">
        <v>66.650252612301614</v>
      </c>
      <c r="D113" s="5">
        <v>14.327942557943006</v>
      </c>
      <c r="E113" s="5">
        <v>11.318388700691095</v>
      </c>
      <c r="F113" s="5">
        <v>136.9566658813288</v>
      </c>
      <c r="G113" s="5">
        <v>117.27843380210479</v>
      </c>
      <c r="H113" s="5">
        <v>23.637814393016626</v>
      </c>
      <c r="I113" s="5">
        <v>0.8899264159238055</v>
      </c>
      <c r="J113" s="5">
        <v>27.059926170147452</v>
      </c>
      <c r="K113" s="5">
        <v>82.16186892896647</v>
      </c>
      <c r="L113" s="5">
        <v>6.4392950112826499</v>
      </c>
      <c r="M113" s="5" t="b">
        <v>1</v>
      </c>
      <c r="N113" s="5" t="b">
        <v>0</v>
      </c>
      <c r="O113" s="5" t="b">
        <v>0</v>
      </c>
      <c r="P113" s="5" t="b">
        <v>0</v>
      </c>
      <c r="Q113" s="5" t="b">
        <v>0</v>
      </c>
      <c r="R113" s="5" t="b">
        <v>0</v>
      </c>
      <c r="S113" s="5" t="b">
        <v>0</v>
      </c>
      <c r="T113" s="5" t="b">
        <v>1</v>
      </c>
      <c r="U113" s="5" t="b">
        <v>0</v>
      </c>
      <c r="V113" s="5" t="b">
        <v>0</v>
      </c>
      <c r="W113" s="5" t="b">
        <v>0</v>
      </c>
      <c r="X113" s="5">
        <v>1</v>
      </c>
      <c r="Y113" s="5">
        <v>2</v>
      </c>
      <c r="Z113" s="5" t="b">
        <v>0</v>
      </c>
      <c r="AA113" s="5">
        <v>5.8289460000000002</v>
      </c>
      <c r="AB113" s="5">
        <v>206.54495661230163</v>
      </c>
    </row>
    <row r="114" spans="2:28" x14ac:dyDescent="0.35">
      <c r="B114" s="5">
        <v>140</v>
      </c>
      <c r="C114" s="5">
        <v>143.04398013361475</v>
      </c>
      <c r="D114" s="5">
        <v>8.9573486799356559</v>
      </c>
      <c r="E114" s="5">
        <v>15.482984014943501</v>
      </c>
      <c r="F114" s="5">
        <v>138.04202478219105</v>
      </c>
      <c r="G114" s="5">
        <v>131.43445719025752</v>
      </c>
      <c r="H114" s="5">
        <v>12.664805835777194</v>
      </c>
      <c r="I114" s="5">
        <v>1.0540248856976975</v>
      </c>
      <c r="J114" s="5">
        <v>27.917755022205419</v>
      </c>
      <c r="K114" s="5">
        <v>71.202061349030402</v>
      </c>
      <c r="L114" s="5">
        <v>7.368988277618107</v>
      </c>
      <c r="M114" s="5" t="b">
        <v>0</v>
      </c>
      <c r="N114" s="5" t="b">
        <v>0</v>
      </c>
      <c r="O114" s="5" t="b">
        <v>0</v>
      </c>
      <c r="P114" s="5" t="b">
        <v>0</v>
      </c>
      <c r="Q114" s="5" t="b">
        <v>0</v>
      </c>
      <c r="R114" s="5" t="b">
        <v>0</v>
      </c>
      <c r="S114" s="5" t="b">
        <v>0</v>
      </c>
      <c r="T114" s="5" t="b">
        <v>0</v>
      </c>
      <c r="U114" s="5" t="b">
        <v>0</v>
      </c>
      <c r="V114" s="5" t="b">
        <v>0</v>
      </c>
      <c r="W114" s="5" t="b">
        <v>0</v>
      </c>
      <c r="X114" s="5">
        <v>1</v>
      </c>
      <c r="Y114" s="5">
        <v>1</v>
      </c>
      <c r="Z114" s="5" t="b">
        <v>0</v>
      </c>
      <c r="AA114" s="5">
        <v>2.7324161999999999</v>
      </c>
      <c r="AB114" s="5">
        <v>208.62196893361477</v>
      </c>
    </row>
    <row r="115" spans="2:28" x14ac:dyDescent="0.35">
      <c r="B115" s="5">
        <v>58</v>
      </c>
      <c r="C115" s="5">
        <v>17.000479318094477</v>
      </c>
      <c r="D115" s="5">
        <v>10.64632188718018</v>
      </c>
      <c r="E115" s="5">
        <v>6.003600371270303</v>
      </c>
      <c r="F115" s="5">
        <v>140.8610799268682</v>
      </c>
      <c r="G115" s="5">
        <v>94.393696964859828</v>
      </c>
      <c r="H115" s="5">
        <v>0.723436484233833</v>
      </c>
      <c r="I115" s="5">
        <v>0.82868634390060869</v>
      </c>
      <c r="J115" s="5">
        <v>30.558636599201488</v>
      </c>
      <c r="K115" s="5">
        <v>82.505731851404292</v>
      </c>
      <c r="L115" s="5">
        <v>7.2921206686701732</v>
      </c>
      <c r="M115" s="5" t="b">
        <v>0</v>
      </c>
      <c r="N115" s="5" t="b">
        <v>0</v>
      </c>
      <c r="O115" s="5" t="b">
        <v>0</v>
      </c>
      <c r="P115" s="5" t="b">
        <v>0</v>
      </c>
      <c r="Q115" s="5" t="b">
        <v>0</v>
      </c>
      <c r="R115" s="5" t="b">
        <v>1</v>
      </c>
      <c r="S115" s="5" t="b">
        <v>0</v>
      </c>
      <c r="T115" s="5" t="b">
        <v>0</v>
      </c>
      <c r="U115" s="5" t="b">
        <v>0</v>
      </c>
      <c r="V115" s="5" t="b">
        <v>0</v>
      </c>
      <c r="W115" s="5" t="b">
        <v>0</v>
      </c>
      <c r="X115" s="5">
        <v>1</v>
      </c>
      <c r="Y115" s="5">
        <v>4</v>
      </c>
      <c r="Z115" s="5" t="b">
        <v>0</v>
      </c>
      <c r="AA115" s="5">
        <v>8.0106859999999998</v>
      </c>
      <c r="AB115" s="5">
        <v>209.25694331809444</v>
      </c>
    </row>
    <row r="116" spans="2:28" x14ac:dyDescent="0.35">
      <c r="B116" s="5">
        <v>72</v>
      </c>
      <c r="C116" s="5">
        <v>17.002125304746386</v>
      </c>
      <c r="D116" s="5">
        <v>9.8784312259018083</v>
      </c>
      <c r="E116" s="5">
        <v>17.380390395651734</v>
      </c>
      <c r="F116" s="5">
        <v>133.75656151332137</v>
      </c>
      <c r="G116" s="5">
        <v>162.97284419743292</v>
      </c>
      <c r="H116" s="5">
        <v>16.513141649573459</v>
      </c>
      <c r="I116" s="5">
        <v>1.2148953376976495</v>
      </c>
      <c r="J116" s="5">
        <v>30.805484715276268</v>
      </c>
      <c r="K116" s="5">
        <v>56.017472364686704</v>
      </c>
      <c r="L116" s="5">
        <v>7.0491974066946455</v>
      </c>
      <c r="M116" s="5" t="b">
        <v>0</v>
      </c>
      <c r="N116" s="5" t="b">
        <v>0</v>
      </c>
      <c r="O116" s="5" t="b">
        <v>0</v>
      </c>
      <c r="P116" s="5" t="b">
        <v>0</v>
      </c>
      <c r="Q116" s="5" t="b">
        <v>0</v>
      </c>
      <c r="R116" s="5" t="b">
        <v>0</v>
      </c>
      <c r="S116" s="5" t="b">
        <v>0</v>
      </c>
      <c r="T116" s="5" t="b">
        <v>0</v>
      </c>
      <c r="U116" s="5" t="b">
        <v>0</v>
      </c>
      <c r="V116" s="5" t="b">
        <v>0</v>
      </c>
      <c r="W116" s="5" t="b">
        <v>0</v>
      </c>
      <c r="X116" s="5">
        <v>2</v>
      </c>
      <c r="Y116" s="5">
        <v>3</v>
      </c>
      <c r="Z116" s="5" t="b">
        <v>1</v>
      </c>
      <c r="AA116" s="5">
        <v>8.0375110000000003</v>
      </c>
      <c r="AB116" s="5">
        <v>209.90238930474638</v>
      </c>
    </row>
    <row r="117" spans="2:28" x14ac:dyDescent="0.35">
      <c r="B117" s="5">
        <v>132</v>
      </c>
      <c r="C117" s="5">
        <v>131.89291337147137</v>
      </c>
      <c r="D117" s="5">
        <v>14.484670764553124</v>
      </c>
      <c r="E117" s="5">
        <v>7.4982334007253861</v>
      </c>
      <c r="F117" s="5">
        <v>140.35774059359207</v>
      </c>
      <c r="G117" s="5">
        <v>122.97748459266886</v>
      </c>
      <c r="H117" s="5">
        <v>14.347303185575475</v>
      </c>
      <c r="I117" s="5">
        <v>0.86845003336950899</v>
      </c>
      <c r="J117" s="5">
        <v>30.981646273418082</v>
      </c>
      <c r="K117" s="5">
        <v>50.349022595998996</v>
      </c>
      <c r="L117" s="5">
        <v>6.9249515342664427</v>
      </c>
      <c r="M117" s="5" t="b">
        <v>0</v>
      </c>
      <c r="N117" s="5" t="b">
        <v>0</v>
      </c>
      <c r="O117" s="5" t="b">
        <v>0</v>
      </c>
      <c r="P117" s="5" t="b">
        <v>0</v>
      </c>
      <c r="Q117" s="5" t="b">
        <v>0</v>
      </c>
      <c r="R117" s="5" t="b">
        <v>0</v>
      </c>
      <c r="S117" s="5" t="b">
        <v>0</v>
      </c>
      <c r="T117" s="5" t="b">
        <v>0</v>
      </c>
      <c r="U117" s="5" t="b">
        <v>0</v>
      </c>
      <c r="V117" s="5" t="b">
        <v>0</v>
      </c>
      <c r="W117" s="5" t="b">
        <v>0</v>
      </c>
      <c r="X117" s="5">
        <v>1</v>
      </c>
      <c r="Y117" s="5">
        <v>1</v>
      </c>
      <c r="Z117" s="5" t="b">
        <v>1</v>
      </c>
      <c r="AA117" s="5">
        <v>3.2724220000000006</v>
      </c>
      <c r="AB117" s="5">
        <v>210.43104137147137</v>
      </c>
    </row>
    <row r="118" spans="2:28" x14ac:dyDescent="0.35">
      <c r="B118" s="5">
        <v>173</v>
      </c>
      <c r="C118" s="5">
        <v>187.16786934010435</v>
      </c>
      <c r="D118" s="5">
        <v>12.021092094354698</v>
      </c>
      <c r="E118" s="5">
        <v>6.0250488969349139</v>
      </c>
      <c r="F118" s="5">
        <v>140.85799703605085</v>
      </c>
      <c r="G118" s="5">
        <v>141.66659811468912</v>
      </c>
      <c r="H118" s="5">
        <v>16.332917314590006</v>
      </c>
      <c r="I118" s="5">
        <v>1.2574930442696841</v>
      </c>
      <c r="J118" s="5">
        <v>29.978839435001539</v>
      </c>
      <c r="K118" s="5">
        <v>82.446046406823726</v>
      </c>
      <c r="L118" s="5">
        <v>5.6726152144847335</v>
      </c>
      <c r="M118" s="5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  <c r="V118" s="5" t="b">
        <v>0</v>
      </c>
      <c r="W118" s="5" t="b">
        <v>0</v>
      </c>
      <c r="X118" s="5">
        <v>1</v>
      </c>
      <c r="Y118" s="5">
        <v>0</v>
      </c>
      <c r="Z118" s="5" t="b">
        <v>1</v>
      </c>
      <c r="AA118" s="5">
        <v>1.0057802000000002</v>
      </c>
      <c r="AB118" s="5">
        <v>211.30659414010435</v>
      </c>
    </row>
    <row r="119" spans="2:28" x14ac:dyDescent="0.35">
      <c r="B119" s="5">
        <v>125</v>
      </c>
      <c r="C119" s="5">
        <v>123.39803226348869</v>
      </c>
      <c r="D119" s="5">
        <v>12.553056976362763</v>
      </c>
      <c r="E119" s="5">
        <v>14.053492911926577</v>
      </c>
      <c r="F119" s="5">
        <v>141.64684645995669</v>
      </c>
      <c r="G119" s="5">
        <v>181.03666893482159</v>
      </c>
      <c r="H119" s="5">
        <v>11.517762631513804</v>
      </c>
      <c r="I119" s="5">
        <v>1.1702274410489262</v>
      </c>
      <c r="J119" s="5">
        <v>31.945056392853282</v>
      </c>
      <c r="K119" s="5">
        <v>61.66076353228604</v>
      </c>
      <c r="L119" s="5">
        <v>6.3691383889343305</v>
      </c>
      <c r="M119" s="5" t="b">
        <v>0</v>
      </c>
      <c r="N119" s="5" t="b">
        <v>0</v>
      </c>
      <c r="O119" s="5" t="b">
        <v>0</v>
      </c>
      <c r="P119" s="5" t="b">
        <v>0</v>
      </c>
      <c r="Q119" s="5" t="b">
        <v>0</v>
      </c>
      <c r="R119" s="5" t="b">
        <v>1</v>
      </c>
      <c r="S119" s="5" t="b">
        <v>0</v>
      </c>
      <c r="T119" s="5" t="b">
        <v>0</v>
      </c>
      <c r="U119" s="5" t="b">
        <v>0</v>
      </c>
      <c r="V119" s="5" t="b">
        <v>0</v>
      </c>
      <c r="W119" s="5" t="b">
        <v>0</v>
      </c>
      <c r="X119" s="5">
        <v>1</v>
      </c>
      <c r="Y119" s="5">
        <v>0</v>
      </c>
      <c r="Z119" s="5" t="b">
        <v>0</v>
      </c>
      <c r="AA119" s="5">
        <v>3.6813370000000001</v>
      </c>
      <c r="AB119" s="5">
        <v>211.75012026348867</v>
      </c>
    </row>
    <row r="120" spans="2:28" x14ac:dyDescent="0.35">
      <c r="B120" s="5">
        <v>69</v>
      </c>
      <c r="C120" s="5">
        <v>17.00215996077204</v>
      </c>
      <c r="D120" s="5">
        <v>9.3932090555429451</v>
      </c>
      <c r="E120" s="5">
        <v>2.6528538436785629</v>
      </c>
      <c r="F120" s="5">
        <v>139.1503033448802</v>
      </c>
      <c r="G120" s="5">
        <v>125.09076381463987</v>
      </c>
      <c r="H120" s="5">
        <v>15.894631989968472</v>
      </c>
      <c r="I120" s="5">
        <v>1.1868996630106703</v>
      </c>
      <c r="J120" s="5">
        <v>32.468279483899224</v>
      </c>
      <c r="K120" s="5">
        <v>56.273011400515017</v>
      </c>
      <c r="L120" s="5">
        <v>5.3991340401365004</v>
      </c>
      <c r="M120" s="5" t="b">
        <v>0</v>
      </c>
      <c r="N120" s="5" t="b">
        <v>0</v>
      </c>
      <c r="O120" s="5" t="b">
        <v>0</v>
      </c>
      <c r="P120" s="5" t="b">
        <v>0</v>
      </c>
      <c r="Q120" s="5" t="b">
        <v>0</v>
      </c>
      <c r="R120" s="5" t="b">
        <v>1</v>
      </c>
      <c r="S120" s="5" t="b">
        <v>0</v>
      </c>
      <c r="T120" s="5" t="b">
        <v>0</v>
      </c>
      <c r="U120" s="5" t="b">
        <v>1</v>
      </c>
      <c r="V120" s="5" t="b">
        <v>0</v>
      </c>
      <c r="W120" s="5" t="b">
        <v>0</v>
      </c>
      <c r="X120" s="5">
        <v>2</v>
      </c>
      <c r="Y120" s="5">
        <v>1</v>
      </c>
      <c r="Z120" s="5" t="b">
        <v>1</v>
      </c>
      <c r="AA120" s="5">
        <v>8.162782</v>
      </c>
      <c r="AB120" s="5">
        <v>212.90892796077205</v>
      </c>
    </row>
    <row r="121" spans="2:28" x14ac:dyDescent="0.35">
      <c r="B121" s="5">
        <v>155</v>
      </c>
      <c r="C121" s="5">
        <v>160.50403162804304</v>
      </c>
      <c r="D121" s="5">
        <v>12.573888311461978</v>
      </c>
      <c r="E121" s="5">
        <v>2.9209322868857583</v>
      </c>
      <c r="F121" s="5">
        <v>141.44076072036913</v>
      </c>
      <c r="G121" s="5">
        <v>151.80976352136832</v>
      </c>
      <c r="H121" s="5">
        <v>9.994464949301392</v>
      </c>
      <c r="I121" s="5">
        <v>1.1513641294252086</v>
      </c>
      <c r="J121" s="5">
        <v>30.843538786413404</v>
      </c>
      <c r="K121" s="5">
        <v>67.799681539212898</v>
      </c>
      <c r="L121" s="5">
        <v>6.8369958363765013</v>
      </c>
      <c r="M121" s="5" t="b">
        <v>0</v>
      </c>
      <c r="N121" s="5" t="b">
        <v>0</v>
      </c>
      <c r="O121" s="5" t="b">
        <v>0</v>
      </c>
      <c r="P121" s="5" t="b">
        <v>0</v>
      </c>
      <c r="Q121" s="5" t="b">
        <v>0</v>
      </c>
      <c r="R121" s="5" t="b">
        <v>0</v>
      </c>
      <c r="S121" s="5" t="b">
        <v>0</v>
      </c>
      <c r="T121" s="5" t="b">
        <v>0</v>
      </c>
      <c r="U121" s="5" t="b">
        <v>0</v>
      </c>
      <c r="V121" s="5" t="b">
        <v>0</v>
      </c>
      <c r="W121" s="5" t="b">
        <v>0</v>
      </c>
      <c r="X121" s="5">
        <v>2</v>
      </c>
      <c r="Y121" s="5">
        <v>1</v>
      </c>
      <c r="Z121" s="5" t="b">
        <v>1</v>
      </c>
      <c r="AA121" s="5">
        <v>2.3708398000000002</v>
      </c>
      <c r="AB121" s="5">
        <v>217.40418682804304</v>
      </c>
    </row>
    <row r="122" spans="2:28" x14ac:dyDescent="0.35">
      <c r="B122" s="5">
        <v>128</v>
      </c>
      <c r="C122" s="5">
        <v>124.99919084222861</v>
      </c>
      <c r="D122" s="5">
        <v>14.201774954955331</v>
      </c>
      <c r="E122" s="5">
        <v>5.7212406217636333</v>
      </c>
      <c r="F122" s="5">
        <v>135.47338404504208</v>
      </c>
      <c r="G122" s="5">
        <v>128.19909279493353</v>
      </c>
      <c r="H122" s="5">
        <v>18.368448413037786</v>
      </c>
      <c r="I122" s="5">
        <v>1.272966636034611</v>
      </c>
      <c r="J122" s="5">
        <v>30.79810018627477</v>
      </c>
      <c r="K122" s="5">
        <v>83.531826174936</v>
      </c>
      <c r="L122" s="5">
        <v>5.9417700873814425</v>
      </c>
      <c r="M122" s="5" t="b">
        <v>0</v>
      </c>
      <c r="N122" s="5" t="b">
        <v>0</v>
      </c>
      <c r="O122" s="5" t="b">
        <v>0</v>
      </c>
      <c r="P122" s="5" t="b">
        <v>0</v>
      </c>
      <c r="Q122" s="5" t="b">
        <v>0</v>
      </c>
      <c r="R122" s="5" t="b">
        <v>0</v>
      </c>
      <c r="S122" s="5" t="b">
        <v>0</v>
      </c>
      <c r="T122" s="5" t="b">
        <v>0</v>
      </c>
      <c r="U122" s="5" t="b">
        <v>0</v>
      </c>
      <c r="V122" s="5" t="b">
        <v>0</v>
      </c>
      <c r="W122" s="5" t="b">
        <v>0</v>
      </c>
      <c r="X122" s="5">
        <v>1</v>
      </c>
      <c r="Y122" s="5">
        <v>2</v>
      </c>
      <c r="Z122" s="5" t="b">
        <v>1</v>
      </c>
      <c r="AA122" s="5">
        <v>3.8985102000000005</v>
      </c>
      <c r="AB122" s="5">
        <v>218.56343564222863</v>
      </c>
    </row>
    <row r="123" spans="2:28" x14ac:dyDescent="0.35">
      <c r="B123" s="5">
        <v>169</v>
      </c>
      <c r="C123" s="5">
        <v>173.51792851648923</v>
      </c>
      <c r="D123" s="5">
        <v>12.221999812891207</v>
      </c>
      <c r="E123" s="5">
        <v>18.32422879846273</v>
      </c>
      <c r="F123" s="5">
        <v>140.34059162256008</v>
      </c>
      <c r="G123" s="5">
        <v>124.04606053049923</v>
      </c>
      <c r="H123" s="5">
        <v>11.10975978080754</v>
      </c>
      <c r="I123" s="5">
        <v>1.0727640847445294</v>
      </c>
      <c r="J123" s="5">
        <v>33.476634302460276</v>
      </c>
      <c r="K123" s="5">
        <v>72.13310124118108</v>
      </c>
      <c r="L123" s="5">
        <v>5.8860697281285752</v>
      </c>
      <c r="M123" s="5" t="b">
        <v>0</v>
      </c>
      <c r="N123" s="5" t="b">
        <v>0</v>
      </c>
      <c r="O123" s="5" t="b">
        <v>0</v>
      </c>
      <c r="P123" s="5" t="b">
        <v>0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  <c r="V123" s="5" t="b">
        <v>0</v>
      </c>
      <c r="W123" s="5" t="b">
        <v>0</v>
      </c>
      <c r="X123" s="5">
        <v>0</v>
      </c>
      <c r="Y123" s="5">
        <v>0</v>
      </c>
      <c r="Z123" s="5" t="b">
        <v>0</v>
      </c>
      <c r="AA123" s="5">
        <v>1.9703653000000001</v>
      </c>
      <c r="AB123" s="5">
        <v>220.80669571648923</v>
      </c>
    </row>
    <row r="124" spans="2:28" x14ac:dyDescent="0.35">
      <c r="B124" s="5">
        <v>175</v>
      </c>
      <c r="C124" s="5">
        <v>193.44605021046718</v>
      </c>
      <c r="D124" s="5">
        <v>11.815974187679947</v>
      </c>
      <c r="E124" s="5">
        <v>16.172745227989545</v>
      </c>
      <c r="F124" s="5">
        <v>136.24254640698487</v>
      </c>
      <c r="G124" s="5">
        <v>93.376943125213174</v>
      </c>
      <c r="H124" s="5">
        <v>22.974299643343635</v>
      </c>
      <c r="I124" s="5">
        <v>1.2579236184312645</v>
      </c>
      <c r="J124" s="5">
        <v>29.398879400398741</v>
      </c>
      <c r="K124" s="5">
        <v>61.123106196576735</v>
      </c>
      <c r="L124" s="5">
        <v>7.3998769060834757</v>
      </c>
      <c r="M124" s="5" t="b">
        <v>0</v>
      </c>
      <c r="N124" s="5" t="b">
        <v>0</v>
      </c>
      <c r="O124" s="5" t="b">
        <v>0</v>
      </c>
      <c r="P124" s="5" t="b">
        <v>0</v>
      </c>
      <c r="Q124" s="5" t="b">
        <v>0</v>
      </c>
      <c r="R124" s="5" t="b">
        <v>0</v>
      </c>
      <c r="S124" s="5" t="b">
        <v>0</v>
      </c>
      <c r="T124" s="5" t="b">
        <v>0</v>
      </c>
      <c r="U124" s="5" t="b">
        <v>0</v>
      </c>
      <c r="V124" s="5" t="b">
        <v>0</v>
      </c>
      <c r="W124" s="5" t="b">
        <v>0</v>
      </c>
      <c r="X124" s="5">
        <v>1</v>
      </c>
      <c r="Y124" s="5">
        <v>0</v>
      </c>
      <c r="Z124" s="5" t="b">
        <v>1</v>
      </c>
      <c r="AA124" s="5">
        <v>1.1929067</v>
      </c>
      <c r="AB124" s="5">
        <v>222.07581101046719</v>
      </c>
    </row>
    <row r="125" spans="2:28" x14ac:dyDescent="0.35">
      <c r="B125" s="5">
        <v>126</v>
      </c>
      <c r="C125" s="5">
        <v>123.65292412786961</v>
      </c>
      <c r="D125" s="5">
        <v>10.503033574815047</v>
      </c>
      <c r="E125" s="5">
        <v>19.753457553715059</v>
      </c>
      <c r="F125" s="5">
        <v>136.89634238778368</v>
      </c>
      <c r="G125" s="5">
        <v>133.43941576520479</v>
      </c>
      <c r="H125" s="5">
        <v>7.1748302121827248</v>
      </c>
      <c r="I125" s="5">
        <v>1.3231464779891167</v>
      </c>
      <c r="J125" s="5">
        <v>29.60323380150918</v>
      </c>
      <c r="K125" s="5">
        <v>92.275205063407498</v>
      </c>
      <c r="L125" s="5">
        <v>7.2036945920455331</v>
      </c>
      <c r="M125" s="5" t="b">
        <v>0</v>
      </c>
      <c r="N125" s="5" t="b">
        <v>0</v>
      </c>
      <c r="O125" s="5" t="b">
        <v>0</v>
      </c>
      <c r="P125" s="5" t="b">
        <v>0</v>
      </c>
      <c r="Q125" s="5" t="b">
        <v>0</v>
      </c>
      <c r="R125" s="5" t="b">
        <v>0</v>
      </c>
      <c r="S125" s="5" t="b">
        <v>0</v>
      </c>
      <c r="T125" s="5" t="b">
        <v>0</v>
      </c>
      <c r="U125" s="5" t="b">
        <v>0</v>
      </c>
      <c r="V125" s="5" t="b">
        <v>0</v>
      </c>
      <c r="W125" s="5" t="b">
        <v>0</v>
      </c>
      <c r="X125" s="5">
        <v>1</v>
      </c>
      <c r="Y125" s="5">
        <v>1</v>
      </c>
      <c r="Z125" s="5" t="b">
        <v>0</v>
      </c>
      <c r="AA125" s="5">
        <v>4.1346736000000002</v>
      </c>
      <c r="AB125" s="5">
        <v>222.88509052786961</v>
      </c>
    </row>
    <row r="126" spans="2:28" x14ac:dyDescent="0.35">
      <c r="B126" s="5">
        <v>15</v>
      </c>
      <c r="C126" s="5">
        <v>6.0012314825376878</v>
      </c>
      <c r="D126" s="5">
        <v>10.927865287335937</v>
      </c>
      <c r="E126" s="5">
        <v>3.8866193025357196</v>
      </c>
      <c r="F126" s="5">
        <v>139.00198909783069</v>
      </c>
      <c r="G126" s="5">
        <v>127.0502684825728</v>
      </c>
      <c r="H126" s="5">
        <v>7.6058404481825583</v>
      </c>
      <c r="I126" s="5">
        <v>1.3300626906502448</v>
      </c>
      <c r="J126" s="5">
        <v>32.043393808065375</v>
      </c>
      <c r="K126" s="5">
        <v>84.056296065181201</v>
      </c>
      <c r="L126" s="5">
        <v>5.432785989579263</v>
      </c>
      <c r="M126" s="5" t="b">
        <v>0</v>
      </c>
      <c r="N126" s="5" t="b">
        <v>0</v>
      </c>
      <c r="O126" s="5" t="b">
        <v>0</v>
      </c>
      <c r="P126" s="5" t="b">
        <v>0</v>
      </c>
      <c r="Q126" s="5" t="b">
        <v>0</v>
      </c>
      <c r="R126" s="5" t="b">
        <v>1</v>
      </c>
      <c r="S126" s="5" t="b">
        <v>0</v>
      </c>
      <c r="T126" s="5" t="b">
        <v>0</v>
      </c>
      <c r="U126" s="5" t="b">
        <v>0</v>
      </c>
      <c r="V126" s="5" t="b">
        <v>0</v>
      </c>
      <c r="W126" s="5" t="b">
        <v>0</v>
      </c>
      <c r="X126" s="5">
        <v>1</v>
      </c>
      <c r="Y126" s="5">
        <v>5</v>
      </c>
      <c r="Z126" s="5" t="b">
        <v>0</v>
      </c>
      <c r="AA126" s="5">
        <v>9.0491349999999997</v>
      </c>
      <c r="AB126" s="5">
        <v>223.18047148253768</v>
      </c>
    </row>
    <row r="127" spans="2:28" x14ac:dyDescent="0.35">
      <c r="B127" s="5">
        <v>170</v>
      </c>
      <c r="C127" s="5">
        <v>175.65658129130841</v>
      </c>
      <c r="D127" s="5">
        <v>10.713688036048422</v>
      </c>
      <c r="E127" s="5">
        <v>17.203859245195041</v>
      </c>
      <c r="F127" s="5">
        <v>136.75871207300366</v>
      </c>
      <c r="G127" s="5">
        <v>87.617091377299886</v>
      </c>
      <c r="H127" s="5">
        <v>15.630206688461973</v>
      </c>
      <c r="I127" s="5">
        <v>1.1514784530445767</v>
      </c>
      <c r="J127" s="5">
        <v>29.812824667748234</v>
      </c>
      <c r="K127" s="5">
        <v>81.025442493926974</v>
      </c>
      <c r="L127" s="5">
        <v>6.2066460715289136</v>
      </c>
      <c r="M127" s="5" t="b">
        <v>0</v>
      </c>
      <c r="N127" s="5" t="b">
        <v>0</v>
      </c>
      <c r="O127" s="5" t="b">
        <v>0</v>
      </c>
      <c r="P127" s="5" t="b">
        <v>0</v>
      </c>
      <c r="Q127" s="5" t="b">
        <v>0</v>
      </c>
      <c r="R127" s="5" t="b">
        <v>0</v>
      </c>
      <c r="S127" s="5" t="b">
        <v>0</v>
      </c>
      <c r="T127" s="5" t="b">
        <v>0</v>
      </c>
      <c r="U127" s="5" t="b">
        <v>0</v>
      </c>
      <c r="V127" s="5" t="b">
        <v>0</v>
      </c>
      <c r="W127" s="5" t="b">
        <v>0</v>
      </c>
      <c r="X127" s="5">
        <v>0</v>
      </c>
      <c r="Y127" s="5">
        <v>1</v>
      </c>
      <c r="Z127" s="5" t="b">
        <v>0</v>
      </c>
      <c r="AA127" s="5">
        <v>2.0883297999999999</v>
      </c>
      <c r="AB127" s="5">
        <v>225.77649649130842</v>
      </c>
    </row>
    <row r="128" spans="2:28" x14ac:dyDescent="0.35">
      <c r="B128" s="5">
        <v>118</v>
      </c>
      <c r="C128" s="5">
        <v>118.56282177395215</v>
      </c>
      <c r="D128" s="5">
        <v>11.747677775486657</v>
      </c>
      <c r="E128" s="5">
        <v>8.709742879558295</v>
      </c>
      <c r="F128" s="5">
        <v>134.17660991284251</v>
      </c>
      <c r="G128" s="5">
        <v>151.76231656033337</v>
      </c>
      <c r="H128" s="5">
        <v>8.8415182725379182E-2</v>
      </c>
      <c r="I128" s="5">
        <v>1.1214357073381676</v>
      </c>
      <c r="J128" s="5">
        <v>28.506153323638454</v>
      </c>
      <c r="K128" s="5">
        <v>59.480276605145534</v>
      </c>
      <c r="L128" s="5">
        <v>6.3050211153764373</v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1</v>
      </c>
      <c r="S128" s="5" t="b">
        <v>0</v>
      </c>
      <c r="T128" s="5" t="b">
        <v>1</v>
      </c>
      <c r="U128" s="5" t="b">
        <v>0</v>
      </c>
      <c r="V128" s="5" t="b">
        <v>0</v>
      </c>
      <c r="W128" s="5" t="b">
        <v>0</v>
      </c>
      <c r="X128" s="5">
        <v>2</v>
      </c>
      <c r="Y128" s="5">
        <v>1</v>
      </c>
      <c r="Z128" s="5" t="b">
        <v>1</v>
      </c>
      <c r="AA128" s="5">
        <v>4.4685670000000002</v>
      </c>
      <c r="AB128" s="5">
        <v>225.80842977395216</v>
      </c>
    </row>
    <row r="129" spans="2:28" x14ac:dyDescent="0.35">
      <c r="B129" s="5">
        <v>166</v>
      </c>
      <c r="C129" s="5">
        <v>170.70210210483845</v>
      </c>
      <c r="D129" s="5">
        <v>13.03938600373222</v>
      </c>
      <c r="E129" s="5">
        <v>17.767707984420355</v>
      </c>
      <c r="F129" s="5">
        <v>134.44005784441973</v>
      </c>
      <c r="G129" s="5">
        <v>140.27198113571464</v>
      </c>
      <c r="H129" s="5">
        <v>19.132037026066747</v>
      </c>
      <c r="I129" s="5">
        <v>1.463334909045265</v>
      </c>
      <c r="J129" s="5">
        <v>28.980186653248328</v>
      </c>
      <c r="K129" s="5">
        <v>71.940917131941916</v>
      </c>
      <c r="L129" s="5">
        <v>6.2504432892259869</v>
      </c>
      <c r="M129" s="5" t="b">
        <v>0</v>
      </c>
      <c r="N129" s="5" t="b">
        <v>0</v>
      </c>
      <c r="O129" s="5" t="b">
        <v>0</v>
      </c>
      <c r="P129" s="5" t="b">
        <v>0</v>
      </c>
      <c r="Q129" s="5" t="b">
        <v>0</v>
      </c>
      <c r="R129" s="5" t="b">
        <v>0</v>
      </c>
      <c r="S129" s="5" t="b">
        <v>0</v>
      </c>
      <c r="T129" s="5" t="b">
        <v>0</v>
      </c>
      <c r="U129" s="5" t="b">
        <v>0</v>
      </c>
      <c r="V129" s="5" t="b">
        <v>0</v>
      </c>
      <c r="W129" s="5" t="b">
        <v>0</v>
      </c>
      <c r="X129" s="5">
        <v>2</v>
      </c>
      <c r="Y129" s="5">
        <v>0</v>
      </c>
      <c r="Z129" s="5" t="b">
        <v>0</v>
      </c>
      <c r="AA129" s="5">
        <v>2.3597077999999998</v>
      </c>
      <c r="AB129" s="5">
        <v>227.33508930483845</v>
      </c>
    </row>
    <row r="130" spans="2:28" x14ac:dyDescent="0.35">
      <c r="B130" s="5">
        <v>123</v>
      </c>
      <c r="C130" s="5">
        <v>122.09912263033965</v>
      </c>
      <c r="D130" s="5">
        <v>10.020204374803781</v>
      </c>
      <c r="E130" s="5">
        <v>8.1254715275479619</v>
      </c>
      <c r="F130" s="5">
        <v>138.3468631400556</v>
      </c>
      <c r="G130" s="5">
        <v>127.8466711018096</v>
      </c>
      <c r="H130" s="5">
        <v>30.25400250027942</v>
      </c>
      <c r="I130" s="5">
        <v>1.2019391820275676</v>
      </c>
      <c r="J130" s="5">
        <v>31.088402323742763</v>
      </c>
      <c r="K130" s="5">
        <v>71.741155488081816</v>
      </c>
      <c r="L130" s="5">
        <v>7.7404184615019211</v>
      </c>
      <c r="M130" s="5" t="b">
        <v>0</v>
      </c>
      <c r="N130" s="5" t="b">
        <v>0</v>
      </c>
      <c r="O130" s="5" t="b">
        <v>0</v>
      </c>
      <c r="P130" s="5" t="b">
        <v>0</v>
      </c>
      <c r="Q130" s="5" t="b">
        <v>0</v>
      </c>
      <c r="R130" s="5" t="b">
        <v>0</v>
      </c>
      <c r="S130" s="5" t="b">
        <v>1</v>
      </c>
      <c r="T130" s="5" t="b">
        <v>0</v>
      </c>
      <c r="U130" s="5" t="b">
        <v>0</v>
      </c>
      <c r="V130" s="5" t="b">
        <v>0</v>
      </c>
      <c r="W130" s="5" t="b">
        <v>0</v>
      </c>
      <c r="X130" s="5">
        <v>1</v>
      </c>
      <c r="Y130" s="5">
        <v>0</v>
      </c>
      <c r="Z130" s="5" t="b">
        <v>0</v>
      </c>
      <c r="AA130" s="5">
        <v>4.4626780000000004</v>
      </c>
      <c r="AB130" s="5">
        <v>229.20339463033966</v>
      </c>
    </row>
    <row r="131" spans="2:28" x14ac:dyDescent="0.35">
      <c r="B131" s="5">
        <v>150</v>
      </c>
      <c r="C131" s="5">
        <v>155.98244990310289</v>
      </c>
      <c r="D131" s="5">
        <v>10.319830654233536</v>
      </c>
      <c r="E131" s="5">
        <v>8.6274259564165039</v>
      </c>
      <c r="F131" s="5">
        <v>144.0660322521174</v>
      </c>
      <c r="G131" s="5">
        <v>103.01987430196587</v>
      </c>
      <c r="H131" s="5">
        <v>15.317918421011083</v>
      </c>
      <c r="I131" s="5">
        <v>1.2010352665943433</v>
      </c>
      <c r="J131" s="5">
        <v>25.561957570669932</v>
      </c>
      <c r="K131" s="5">
        <v>79.592850994727641</v>
      </c>
      <c r="L131" s="5">
        <v>6.5030418555499265</v>
      </c>
      <c r="M131" s="5" t="b">
        <v>0</v>
      </c>
      <c r="N131" s="5" t="b">
        <v>0</v>
      </c>
      <c r="O131" s="5" t="b">
        <v>0</v>
      </c>
      <c r="P131" s="5" t="b">
        <v>0</v>
      </c>
      <c r="Q131" s="5" t="b">
        <v>0</v>
      </c>
      <c r="R131" s="5" t="b">
        <v>0</v>
      </c>
      <c r="S131" s="5" t="b">
        <v>0</v>
      </c>
      <c r="T131" s="5" t="b">
        <v>0</v>
      </c>
      <c r="U131" s="5" t="b">
        <v>0</v>
      </c>
      <c r="V131" s="5" t="b">
        <v>0</v>
      </c>
      <c r="W131" s="5" t="b">
        <v>0</v>
      </c>
      <c r="X131" s="5">
        <v>1</v>
      </c>
      <c r="Y131" s="5">
        <v>1</v>
      </c>
      <c r="Z131" s="5" t="b">
        <v>0</v>
      </c>
      <c r="AA131" s="5">
        <v>3.0653336000000007</v>
      </c>
      <c r="AB131" s="5">
        <v>229.55045630310292</v>
      </c>
    </row>
    <row r="132" spans="2:28" x14ac:dyDescent="0.35">
      <c r="B132" s="5">
        <v>172</v>
      </c>
      <c r="C132" s="5">
        <v>178.61014973454405</v>
      </c>
      <c r="D132" s="5">
        <v>11.72737248817087</v>
      </c>
      <c r="E132" s="5">
        <v>5.5131984404402052</v>
      </c>
      <c r="F132" s="5">
        <v>136.09533481964073</v>
      </c>
      <c r="G132" s="5">
        <v>177.3412892540876</v>
      </c>
      <c r="H132" s="5">
        <v>10.566760926895192</v>
      </c>
      <c r="I132" s="5">
        <v>1.0198661075955469</v>
      </c>
      <c r="J132" s="5">
        <v>28.25334900672464</v>
      </c>
      <c r="K132" s="5">
        <v>75.790590596533832</v>
      </c>
      <c r="L132" s="5">
        <v>5.6211677191861629</v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5" t="b">
        <v>0</v>
      </c>
      <c r="V132" s="5" t="b">
        <v>0</v>
      </c>
      <c r="W132" s="5" t="b">
        <v>0</v>
      </c>
      <c r="X132" s="5">
        <v>1</v>
      </c>
      <c r="Y132" s="5">
        <v>1</v>
      </c>
      <c r="Z132" s="5" t="b">
        <v>0</v>
      </c>
      <c r="AA132" s="5">
        <v>2.3767415999999999</v>
      </c>
      <c r="AB132" s="5">
        <v>235.65194813454406</v>
      </c>
    </row>
    <row r="133" spans="2:28" x14ac:dyDescent="0.35">
      <c r="B133" s="5">
        <v>135</v>
      </c>
      <c r="C133" s="5">
        <v>135.1477341111011</v>
      </c>
      <c r="D133" s="5">
        <v>10.732221115152958</v>
      </c>
      <c r="E133" s="5">
        <v>20.678042947732187</v>
      </c>
      <c r="F133" s="5">
        <v>136.79952705903307</v>
      </c>
      <c r="G133" s="5">
        <v>148.46866887921703</v>
      </c>
      <c r="H133" s="5">
        <v>11.144510683971985</v>
      </c>
      <c r="I133" s="5">
        <v>0.86964558474234621</v>
      </c>
      <c r="J133" s="5">
        <v>29.716058592810786</v>
      </c>
      <c r="K133" s="5">
        <v>90.422952388939976</v>
      </c>
      <c r="L133" s="5">
        <v>6.7678330249827967</v>
      </c>
      <c r="M133" s="5" t="b">
        <v>0</v>
      </c>
      <c r="N133" s="5" t="b">
        <v>0</v>
      </c>
      <c r="O133" s="5" t="b">
        <v>0</v>
      </c>
      <c r="P133" s="5" t="b">
        <v>0</v>
      </c>
      <c r="Q133" s="5" t="b">
        <v>0</v>
      </c>
      <c r="R133" s="5" t="b">
        <v>1</v>
      </c>
      <c r="S133" s="5" t="b">
        <v>0</v>
      </c>
      <c r="T133" s="5" t="b">
        <v>0</v>
      </c>
      <c r="U133" s="5" t="b">
        <v>0</v>
      </c>
      <c r="V133" s="5" t="b">
        <v>0</v>
      </c>
      <c r="W133" s="5" t="b">
        <v>0</v>
      </c>
      <c r="X133" s="5">
        <v>1</v>
      </c>
      <c r="Y133" s="5">
        <v>0</v>
      </c>
      <c r="Z133" s="5" t="b">
        <v>0</v>
      </c>
      <c r="AA133" s="5">
        <v>4.2734522999999998</v>
      </c>
      <c r="AB133" s="5">
        <v>237.7105893111011</v>
      </c>
    </row>
    <row r="134" spans="2:28" x14ac:dyDescent="0.35">
      <c r="B134" s="5">
        <v>143</v>
      </c>
      <c r="C134" s="5">
        <v>146.70006078256156</v>
      </c>
      <c r="D134" s="5">
        <v>10.673899724389205</v>
      </c>
      <c r="E134" s="5">
        <v>4.0324066600356732</v>
      </c>
      <c r="F134" s="5">
        <v>131.80158757562373</v>
      </c>
      <c r="G134" s="5">
        <v>165.46204807713377</v>
      </c>
      <c r="H134" s="5">
        <v>8.3898066698172045</v>
      </c>
      <c r="I134" s="5">
        <v>1.2105244872587066</v>
      </c>
      <c r="J134" s="5">
        <v>28.624294271776304</v>
      </c>
      <c r="K134" s="5">
        <v>79.664379254739302</v>
      </c>
      <c r="L134" s="5">
        <v>6.2860543636984323</v>
      </c>
      <c r="M134" s="5" t="b">
        <v>1</v>
      </c>
      <c r="N134" s="5" t="b">
        <v>0</v>
      </c>
      <c r="O134" s="5" t="b">
        <v>0</v>
      </c>
      <c r="P134" s="5" t="b">
        <v>0</v>
      </c>
      <c r="Q134" s="5" t="b">
        <v>0</v>
      </c>
      <c r="R134" s="5" t="b">
        <v>0</v>
      </c>
      <c r="S134" s="5" t="b">
        <v>0</v>
      </c>
      <c r="T134" s="5" t="b">
        <v>0</v>
      </c>
      <c r="U134" s="5" t="b">
        <v>0</v>
      </c>
      <c r="V134" s="5" t="b">
        <v>0</v>
      </c>
      <c r="W134" s="5" t="b">
        <v>0</v>
      </c>
      <c r="X134" s="5">
        <v>1</v>
      </c>
      <c r="Y134" s="5">
        <v>1</v>
      </c>
      <c r="Z134" s="5" t="b">
        <v>1</v>
      </c>
      <c r="AA134" s="5">
        <v>3.8295943999999995</v>
      </c>
      <c r="AB134" s="5">
        <v>238.61032638256157</v>
      </c>
    </row>
    <row r="135" spans="2:28" x14ac:dyDescent="0.35">
      <c r="B135" s="5">
        <v>145</v>
      </c>
      <c r="C135" s="5">
        <v>147.75894364152373</v>
      </c>
      <c r="D135" s="5">
        <v>12.013520348356067</v>
      </c>
      <c r="E135" s="5">
        <v>3.1476199375170708</v>
      </c>
      <c r="F135" s="5">
        <v>139.3676225860338</v>
      </c>
      <c r="G135" s="5">
        <v>142.91239823387676</v>
      </c>
      <c r="H135" s="5">
        <v>9.2238220418279084</v>
      </c>
      <c r="I135" s="5">
        <v>1.147392925675502</v>
      </c>
      <c r="J135" s="5">
        <v>28.288166505334917</v>
      </c>
      <c r="K135" s="5">
        <v>74.36140180195693</v>
      </c>
      <c r="L135" s="5">
        <v>6.4205229019392966</v>
      </c>
      <c r="M135" s="5" t="b">
        <v>0</v>
      </c>
      <c r="N135" s="5" t="b">
        <v>0</v>
      </c>
      <c r="O135" s="5" t="b">
        <v>0</v>
      </c>
      <c r="P135" s="5" t="b">
        <v>0</v>
      </c>
      <c r="Q135" s="5" t="b">
        <v>0</v>
      </c>
      <c r="R135" s="5" t="b">
        <v>0</v>
      </c>
      <c r="S135" s="5" t="b">
        <v>0</v>
      </c>
      <c r="T135" s="5" t="b">
        <v>0</v>
      </c>
      <c r="U135" s="5" t="b">
        <v>0</v>
      </c>
      <c r="V135" s="5" t="b">
        <v>0</v>
      </c>
      <c r="W135" s="5" t="b">
        <v>0</v>
      </c>
      <c r="X135" s="5">
        <v>2</v>
      </c>
      <c r="Y135" s="5">
        <v>2</v>
      </c>
      <c r="Z135" s="5" t="b">
        <v>0</v>
      </c>
      <c r="AA135" s="5">
        <v>3.8352450000000005</v>
      </c>
      <c r="AB135" s="5">
        <v>239.80482364152374</v>
      </c>
    </row>
    <row r="136" spans="2:28" x14ac:dyDescent="0.35">
      <c r="B136" s="5">
        <v>32</v>
      </c>
      <c r="C136" s="5">
        <v>12.001068826489121</v>
      </c>
      <c r="D136" s="5">
        <v>14.303234255039662</v>
      </c>
      <c r="E136" s="5">
        <v>2.5386709115875918</v>
      </c>
      <c r="F136" s="5">
        <v>141.45823994664977</v>
      </c>
      <c r="G136" s="5">
        <v>125.27585626410934</v>
      </c>
      <c r="H136" s="5">
        <v>44.514495826480776</v>
      </c>
      <c r="I136" s="5">
        <v>1.0672175751455077</v>
      </c>
      <c r="J136" s="5">
        <v>32.267690277350169</v>
      </c>
      <c r="K136" s="5">
        <v>41.376335159223395</v>
      </c>
      <c r="L136" s="5">
        <v>6.4260706023242218</v>
      </c>
      <c r="M136" s="5" t="b">
        <v>0</v>
      </c>
      <c r="N136" s="5" t="b">
        <v>0</v>
      </c>
      <c r="O136" s="5" t="b">
        <v>1</v>
      </c>
      <c r="P136" s="5" t="b">
        <v>0</v>
      </c>
      <c r="Q136" s="5" t="b">
        <v>0</v>
      </c>
      <c r="R136" s="5" t="b">
        <v>0</v>
      </c>
      <c r="S136" s="5" t="b">
        <v>0</v>
      </c>
      <c r="T136" s="5" t="b">
        <v>0</v>
      </c>
      <c r="U136" s="5" t="b">
        <v>0</v>
      </c>
      <c r="V136" s="5" t="b">
        <v>0</v>
      </c>
      <c r="W136" s="5" t="b">
        <v>0</v>
      </c>
      <c r="X136" s="5">
        <v>2</v>
      </c>
      <c r="Y136" s="5">
        <v>1</v>
      </c>
      <c r="Z136" s="5" t="b">
        <v>0</v>
      </c>
      <c r="AA136" s="5">
        <v>9.6023244999999999</v>
      </c>
      <c r="AB136" s="5">
        <v>242.45685682648914</v>
      </c>
    </row>
    <row r="137" spans="2:28" x14ac:dyDescent="0.35">
      <c r="B137" s="5">
        <v>129</v>
      </c>
      <c r="C137" s="5">
        <v>126.27439596391841</v>
      </c>
      <c r="D137" s="5">
        <v>15.225395988438823</v>
      </c>
      <c r="E137" s="5">
        <v>15.562313244683065</v>
      </c>
      <c r="F137" s="5">
        <v>134.60836087584019</v>
      </c>
      <c r="G137" s="5">
        <v>116.51455181532137</v>
      </c>
      <c r="H137" s="5">
        <v>25.266810029846894</v>
      </c>
      <c r="I137" s="5">
        <v>1.0225385965947142</v>
      </c>
      <c r="J137" s="5">
        <v>33.017500876554564</v>
      </c>
      <c r="K137" s="5">
        <v>72.970043722692424</v>
      </c>
      <c r="L137" s="5">
        <v>6.2655259766918601</v>
      </c>
      <c r="M137" s="5" t="b">
        <v>0</v>
      </c>
      <c r="N137" s="5" t="b">
        <v>0</v>
      </c>
      <c r="O137" s="5" t="b">
        <v>0</v>
      </c>
      <c r="P137" s="5" t="b">
        <v>1</v>
      </c>
      <c r="Q137" s="5" t="b">
        <v>0</v>
      </c>
      <c r="R137" s="5" t="b">
        <v>0</v>
      </c>
      <c r="S137" s="5" t="b">
        <v>0</v>
      </c>
      <c r="T137" s="5" t="b">
        <v>0</v>
      </c>
      <c r="U137" s="5" t="b">
        <v>0</v>
      </c>
      <c r="V137" s="5" t="b">
        <v>0</v>
      </c>
      <c r="W137" s="5" t="b">
        <v>0</v>
      </c>
      <c r="X137" s="5">
        <v>2</v>
      </c>
      <c r="Y137" s="5">
        <v>1</v>
      </c>
      <c r="Z137" s="5" t="b">
        <v>0</v>
      </c>
      <c r="AA137" s="5">
        <v>4.8423157000000003</v>
      </c>
      <c r="AB137" s="5">
        <v>242.48997276391842</v>
      </c>
    </row>
    <row r="138" spans="2:28" x14ac:dyDescent="0.35">
      <c r="B138" s="5">
        <v>152</v>
      </c>
      <c r="C138" s="5">
        <v>157.50620955923523</v>
      </c>
      <c r="D138" s="5">
        <v>11.846212375397188</v>
      </c>
      <c r="E138" s="5">
        <v>3.1554052072527368</v>
      </c>
      <c r="F138" s="5">
        <v>139.09009481287197</v>
      </c>
      <c r="G138" s="5">
        <v>138.00728077919379</v>
      </c>
      <c r="H138" s="5">
        <v>10.888137053818474</v>
      </c>
      <c r="I138" s="5">
        <v>1.2285514876583801</v>
      </c>
      <c r="J138" s="5">
        <v>29.024147855631025</v>
      </c>
      <c r="K138" s="5">
        <v>83.584633933289766</v>
      </c>
      <c r="L138" s="5">
        <v>6.5908661026232096</v>
      </c>
      <c r="M138" s="5" t="b">
        <v>0</v>
      </c>
      <c r="N138" s="5" t="b">
        <v>1</v>
      </c>
      <c r="O138" s="5" t="b">
        <v>0</v>
      </c>
      <c r="P138" s="5" t="b">
        <v>0</v>
      </c>
      <c r="Q138" s="5" t="b">
        <v>0</v>
      </c>
      <c r="R138" s="5" t="b">
        <v>0</v>
      </c>
      <c r="S138" s="5" t="b">
        <v>0</v>
      </c>
      <c r="T138" s="5" t="b">
        <v>0</v>
      </c>
      <c r="U138" s="5" t="b">
        <v>0</v>
      </c>
      <c r="V138" s="5" t="b">
        <v>0</v>
      </c>
      <c r="W138" s="5" t="b">
        <v>0</v>
      </c>
      <c r="X138" s="5">
        <v>1</v>
      </c>
      <c r="Y138" s="5">
        <v>1</v>
      </c>
      <c r="Z138" s="5" t="b">
        <v>0</v>
      </c>
      <c r="AA138" s="5">
        <v>3.6295595</v>
      </c>
      <c r="AB138" s="5">
        <v>244.61563755923521</v>
      </c>
    </row>
    <row r="139" spans="2:28" x14ac:dyDescent="0.35">
      <c r="B139" s="5">
        <v>196</v>
      </c>
      <c r="C139" s="5">
        <v>223.18047148253768</v>
      </c>
      <c r="D139" s="5">
        <v>12.118594122718857</v>
      </c>
      <c r="E139" s="5">
        <v>15.962317637887878</v>
      </c>
      <c r="F139" s="5">
        <v>136.48389500274027</v>
      </c>
      <c r="G139" s="5">
        <v>137.53064977044843</v>
      </c>
      <c r="H139" s="5">
        <v>15.454950186358719</v>
      </c>
      <c r="I139" s="5">
        <v>1.3162196033506921</v>
      </c>
      <c r="J139" s="5">
        <v>28.905283296632479</v>
      </c>
      <c r="K139" s="5">
        <v>84.5600843656254</v>
      </c>
      <c r="L139" s="5">
        <v>6.8730385692739322</v>
      </c>
      <c r="M139" s="5" t="b">
        <v>0</v>
      </c>
      <c r="N139" s="5" t="b">
        <v>0</v>
      </c>
      <c r="O139" s="5" t="b">
        <v>0</v>
      </c>
      <c r="P139" s="5" t="b">
        <v>0</v>
      </c>
      <c r="Q139" s="5" t="b">
        <v>0</v>
      </c>
      <c r="R139" s="5" t="b">
        <v>0</v>
      </c>
      <c r="S139" s="5" t="b">
        <v>0</v>
      </c>
      <c r="T139" s="5" t="b">
        <v>0</v>
      </c>
      <c r="U139" s="5" t="b">
        <v>0</v>
      </c>
      <c r="V139" s="5" t="b">
        <v>0</v>
      </c>
      <c r="W139" s="5" t="b">
        <v>0</v>
      </c>
      <c r="X139" s="5">
        <v>0</v>
      </c>
      <c r="Y139" s="5">
        <v>0</v>
      </c>
      <c r="Z139" s="5" t="b">
        <v>0</v>
      </c>
      <c r="AA139" s="5">
        <v>0.99427149999999997</v>
      </c>
      <c r="AB139" s="5">
        <v>247.04298748253768</v>
      </c>
    </row>
    <row r="140" spans="2:28" x14ac:dyDescent="0.35">
      <c r="B140" s="5">
        <v>197</v>
      </c>
      <c r="C140" s="5">
        <v>225.77649649130842</v>
      </c>
      <c r="D140" s="5">
        <v>11.790211475274981</v>
      </c>
      <c r="E140" s="5">
        <v>5.9755183643106857</v>
      </c>
      <c r="F140" s="5">
        <v>136.39922858267551</v>
      </c>
      <c r="G140" s="5">
        <v>139.86465758738973</v>
      </c>
      <c r="H140" s="5">
        <v>37.762549696897892</v>
      </c>
      <c r="I140" s="5">
        <v>1.098586839212071</v>
      </c>
      <c r="J140" s="5">
        <v>30.218376401632579</v>
      </c>
      <c r="K140" s="5">
        <v>76.858432415350251</v>
      </c>
      <c r="L140" s="5">
        <v>6.1444445211433658</v>
      </c>
      <c r="M140" s="5" t="b">
        <v>0</v>
      </c>
      <c r="N140" s="5" t="b">
        <v>0</v>
      </c>
      <c r="O140" s="5" t="b">
        <v>0</v>
      </c>
      <c r="P140" s="5" t="b">
        <v>0</v>
      </c>
      <c r="Q140" s="5" t="b">
        <v>0</v>
      </c>
      <c r="R140" s="5" t="b">
        <v>0</v>
      </c>
      <c r="S140" s="5" t="b">
        <v>0</v>
      </c>
      <c r="T140" s="5" t="b">
        <v>0</v>
      </c>
      <c r="U140" s="5" t="b">
        <v>0</v>
      </c>
      <c r="V140" s="5" t="b">
        <v>0</v>
      </c>
      <c r="W140" s="5" t="b">
        <v>0</v>
      </c>
      <c r="X140" s="5">
        <v>3</v>
      </c>
      <c r="Y140" s="5">
        <v>0</v>
      </c>
      <c r="Z140" s="5" t="b">
        <v>0</v>
      </c>
      <c r="AA140" s="5">
        <v>0.8950426600000001</v>
      </c>
      <c r="AB140" s="5">
        <v>247.25752033130843</v>
      </c>
    </row>
    <row r="141" spans="2:28" x14ac:dyDescent="0.35">
      <c r="B141" s="5">
        <v>138</v>
      </c>
      <c r="C141" s="5">
        <v>141.75223718564553</v>
      </c>
      <c r="D141" s="5">
        <v>11.423807116725911</v>
      </c>
      <c r="E141" s="5">
        <v>13.80001556134583</v>
      </c>
      <c r="F141" s="5">
        <v>137.57454942570686</v>
      </c>
      <c r="G141" s="5">
        <v>111.60116494256627</v>
      </c>
      <c r="H141" s="5">
        <v>37.524660083088513</v>
      </c>
      <c r="I141" s="5">
        <v>1.2454955714742668</v>
      </c>
      <c r="J141" s="5">
        <v>27.276840636328902</v>
      </c>
      <c r="K141" s="5">
        <v>67.969635904408932</v>
      </c>
      <c r="L141" s="5">
        <v>6.2522176940489009</v>
      </c>
      <c r="M141" s="5" t="b">
        <v>0</v>
      </c>
      <c r="N141" s="5" t="b">
        <v>0</v>
      </c>
      <c r="O141" s="5" t="b">
        <v>0</v>
      </c>
      <c r="P141" s="5" t="b">
        <v>0</v>
      </c>
      <c r="Q141" s="5" t="b">
        <v>0</v>
      </c>
      <c r="R141" s="5" t="b">
        <v>0</v>
      </c>
      <c r="S141" s="5" t="b">
        <v>0</v>
      </c>
      <c r="T141" s="5" t="b">
        <v>0</v>
      </c>
      <c r="U141" s="5" t="b">
        <v>0</v>
      </c>
      <c r="V141" s="5" t="b">
        <v>0</v>
      </c>
      <c r="W141" s="5" t="b">
        <v>0</v>
      </c>
      <c r="X141" s="5">
        <v>1</v>
      </c>
      <c r="Y141" s="5">
        <v>2</v>
      </c>
      <c r="Z141" s="5" t="b">
        <v>1</v>
      </c>
      <c r="AA141" s="5">
        <v>4.4193759999999997</v>
      </c>
      <c r="AB141" s="5">
        <v>247.81726118564552</v>
      </c>
    </row>
    <row r="142" spans="2:28" x14ac:dyDescent="0.35">
      <c r="B142" s="5">
        <v>114</v>
      </c>
      <c r="C142" s="5">
        <v>111.27175848181058</v>
      </c>
      <c r="D142" s="5">
        <v>12.967180410128744</v>
      </c>
      <c r="E142" s="5">
        <v>13.90741433444092</v>
      </c>
      <c r="F142" s="5">
        <v>136.49403064872968</v>
      </c>
      <c r="G142" s="5">
        <v>224.70193890898935</v>
      </c>
      <c r="H142" s="5">
        <v>4.9250112352883928</v>
      </c>
      <c r="I142" s="5">
        <v>0.79842187602823778</v>
      </c>
      <c r="J142" s="5">
        <v>28.659950506730389</v>
      </c>
      <c r="K142" s="5">
        <v>95.712339971182004</v>
      </c>
      <c r="L142" s="5">
        <v>6.1003143144189451</v>
      </c>
      <c r="M142" s="5" t="b">
        <v>0</v>
      </c>
      <c r="N142" s="5" t="b">
        <v>0</v>
      </c>
      <c r="O142" s="5" t="b">
        <v>1</v>
      </c>
      <c r="P142" s="5" t="b">
        <v>0</v>
      </c>
      <c r="Q142" s="5" t="b">
        <v>0</v>
      </c>
      <c r="R142" s="5" t="b">
        <v>0</v>
      </c>
      <c r="S142" s="5" t="b">
        <v>0</v>
      </c>
      <c r="T142" s="5" t="b">
        <v>0</v>
      </c>
      <c r="U142" s="5" t="b">
        <v>0</v>
      </c>
      <c r="V142" s="5" t="b">
        <v>0</v>
      </c>
      <c r="W142" s="5" t="b">
        <v>0</v>
      </c>
      <c r="X142" s="5">
        <v>0</v>
      </c>
      <c r="Y142" s="5">
        <v>1</v>
      </c>
      <c r="Z142" s="5" t="b">
        <v>1</v>
      </c>
      <c r="AA142" s="5">
        <v>5.7513212999999999</v>
      </c>
      <c r="AB142" s="5">
        <v>249.30346968181055</v>
      </c>
    </row>
    <row r="143" spans="2:28" x14ac:dyDescent="0.35">
      <c r="B143" s="5">
        <v>115</v>
      </c>
      <c r="C143" s="5">
        <v>111.90282384421212</v>
      </c>
      <c r="D143" s="5">
        <v>12.21045320017881</v>
      </c>
      <c r="E143" s="5">
        <v>1.8374421078745886</v>
      </c>
      <c r="F143" s="5">
        <v>139.31210925759942</v>
      </c>
      <c r="G143" s="5">
        <v>99.936372481080582</v>
      </c>
      <c r="H143" s="5">
        <v>12.358966708727488</v>
      </c>
      <c r="I143" s="5">
        <v>1.0667665361559879</v>
      </c>
      <c r="J143" s="5">
        <v>27.066622184802672</v>
      </c>
      <c r="K143" s="5">
        <v>62.656186798966118</v>
      </c>
      <c r="L143" s="5">
        <v>6.6683998951486894</v>
      </c>
      <c r="M143" s="5" t="b">
        <v>0</v>
      </c>
      <c r="N143" s="5" t="b">
        <v>0</v>
      </c>
      <c r="O143" s="5" t="b">
        <v>0</v>
      </c>
      <c r="P143" s="5" t="b">
        <v>0</v>
      </c>
      <c r="Q143" s="5" t="b">
        <v>0</v>
      </c>
      <c r="R143" s="5" t="b">
        <v>0</v>
      </c>
      <c r="S143" s="5" t="b">
        <v>0</v>
      </c>
      <c r="T143" s="5" t="b">
        <v>0</v>
      </c>
      <c r="U143" s="5" t="b">
        <v>0</v>
      </c>
      <c r="V143" s="5" t="b">
        <v>0</v>
      </c>
      <c r="W143" s="5" t="b">
        <v>0</v>
      </c>
      <c r="X143" s="5">
        <v>1</v>
      </c>
      <c r="Y143" s="5">
        <v>3</v>
      </c>
      <c r="Z143" s="5" t="b">
        <v>0</v>
      </c>
      <c r="AA143" s="5">
        <v>5.7329290000000004</v>
      </c>
      <c r="AB143" s="5">
        <v>249.49311984421212</v>
      </c>
    </row>
    <row r="144" spans="2:28" x14ac:dyDescent="0.35">
      <c r="B144" s="5">
        <v>136</v>
      </c>
      <c r="C144" s="5">
        <v>136.73980897222674</v>
      </c>
      <c r="D144" s="5">
        <v>13.514877038613143</v>
      </c>
      <c r="E144" s="5">
        <v>1.5941037812349208</v>
      </c>
      <c r="F144" s="5">
        <v>138.77187505471431</v>
      </c>
      <c r="G144" s="5">
        <v>112.29870714122163</v>
      </c>
      <c r="H144" s="5">
        <v>33.722447839978024</v>
      </c>
      <c r="I144" s="5">
        <v>0.88366405501923595</v>
      </c>
      <c r="J144" s="5">
        <v>30.144992440144058</v>
      </c>
      <c r="K144" s="5">
        <v>78.816569964320507</v>
      </c>
      <c r="L144" s="5">
        <v>6.0960460546756199</v>
      </c>
      <c r="M144" s="5" t="b">
        <v>0</v>
      </c>
      <c r="N144" s="5" t="b">
        <v>0</v>
      </c>
      <c r="O144" s="5" t="b">
        <v>0</v>
      </c>
      <c r="P144" s="5" t="b">
        <v>0</v>
      </c>
      <c r="Q144" s="5" t="b">
        <v>0</v>
      </c>
      <c r="R144" s="5" t="b">
        <v>0</v>
      </c>
      <c r="S144" s="5" t="b">
        <v>0</v>
      </c>
      <c r="T144" s="5" t="b">
        <v>1</v>
      </c>
      <c r="U144" s="5" t="b">
        <v>0</v>
      </c>
      <c r="V144" s="5" t="b">
        <v>0</v>
      </c>
      <c r="W144" s="5" t="b">
        <v>0</v>
      </c>
      <c r="X144" s="5">
        <v>2</v>
      </c>
      <c r="Y144" s="5">
        <v>1</v>
      </c>
      <c r="Z144" s="5" t="b">
        <v>1</v>
      </c>
      <c r="AA144" s="5">
        <v>4.8381686000000004</v>
      </c>
      <c r="AB144" s="5">
        <v>252.85585537222676</v>
      </c>
    </row>
    <row r="145" spans="2:28" x14ac:dyDescent="0.35">
      <c r="B145" s="5">
        <v>23</v>
      </c>
      <c r="C145" s="5">
        <v>6.0018456011574752</v>
      </c>
      <c r="D145" s="5">
        <v>13.433155663573432</v>
      </c>
      <c r="E145" s="5">
        <v>16.627164367712979</v>
      </c>
      <c r="F145" s="5">
        <v>139.26206414609476</v>
      </c>
      <c r="G145" s="5">
        <v>179.09629090094859</v>
      </c>
      <c r="H145" s="5">
        <v>32.912849780072484</v>
      </c>
      <c r="I145" s="5">
        <v>1.1621067497489426</v>
      </c>
      <c r="J145" s="5">
        <v>27.005606439147329</v>
      </c>
      <c r="K145" s="5">
        <v>94.12638723346825</v>
      </c>
      <c r="L145" s="5">
        <v>6.5721876980119491</v>
      </c>
      <c r="M145" s="5" t="b">
        <v>0</v>
      </c>
      <c r="N145" s="5" t="b">
        <v>0</v>
      </c>
      <c r="O145" s="5" t="b">
        <v>0</v>
      </c>
      <c r="P145" s="5" t="b">
        <v>0</v>
      </c>
      <c r="Q145" s="5" t="b">
        <v>0</v>
      </c>
      <c r="R145" s="5" t="b">
        <v>0</v>
      </c>
      <c r="S145" s="5" t="b">
        <v>0</v>
      </c>
      <c r="T145" s="5" t="b">
        <v>0</v>
      </c>
      <c r="U145" s="5" t="b">
        <v>0</v>
      </c>
      <c r="V145" s="5" t="b">
        <v>0</v>
      </c>
      <c r="W145" s="5" t="b">
        <v>0</v>
      </c>
      <c r="X145" s="5">
        <v>0</v>
      </c>
      <c r="Y145" s="5">
        <v>4</v>
      </c>
      <c r="Z145" s="5" t="b">
        <v>1</v>
      </c>
      <c r="AA145" s="5">
        <v>10.303682999999999</v>
      </c>
      <c r="AB145" s="5">
        <v>253.29023760115743</v>
      </c>
    </row>
    <row r="146" spans="2:28" x14ac:dyDescent="0.35">
      <c r="B146" s="5">
        <v>163</v>
      </c>
      <c r="C146" s="5">
        <v>166.13256773631883</v>
      </c>
      <c r="D146" s="5">
        <v>12.713466172389831</v>
      </c>
      <c r="E146" s="5">
        <v>6.6837712015225375</v>
      </c>
      <c r="F146" s="5">
        <v>139.2095139061523</v>
      </c>
      <c r="G146" s="5">
        <v>134.67924848958532</v>
      </c>
      <c r="H146" s="5">
        <v>25.48064708658017</v>
      </c>
      <c r="I146" s="5">
        <v>0.80647901111016185</v>
      </c>
      <c r="J146" s="5">
        <v>26.660052896129685</v>
      </c>
      <c r="K146" s="5">
        <v>67.268351511632915</v>
      </c>
      <c r="L146" s="5">
        <v>7.4187961243540093</v>
      </c>
      <c r="M146" s="5" t="b">
        <v>0</v>
      </c>
      <c r="N146" s="5" t="b">
        <v>0</v>
      </c>
      <c r="O146" s="5" t="b">
        <v>0</v>
      </c>
      <c r="P146" s="5" t="b">
        <v>0</v>
      </c>
      <c r="Q146" s="5" t="b">
        <v>0</v>
      </c>
      <c r="R146" s="5" t="b">
        <v>0</v>
      </c>
      <c r="S146" s="5" t="b">
        <v>0</v>
      </c>
      <c r="T146" s="5" t="b">
        <v>0</v>
      </c>
      <c r="U146" s="5" t="b">
        <v>0</v>
      </c>
      <c r="V146" s="5" t="b">
        <v>0</v>
      </c>
      <c r="W146" s="5" t="b">
        <v>0</v>
      </c>
      <c r="X146" s="5">
        <v>1</v>
      </c>
      <c r="Y146" s="5">
        <v>1</v>
      </c>
      <c r="Z146" s="5" t="b">
        <v>1</v>
      </c>
      <c r="AA146" s="5">
        <v>3.6799686000000005</v>
      </c>
      <c r="AB146" s="5">
        <v>254.45181413631883</v>
      </c>
    </row>
    <row r="147" spans="2:28" x14ac:dyDescent="0.35">
      <c r="B147" s="5">
        <v>151</v>
      </c>
      <c r="C147" s="5">
        <v>156.57150956694355</v>
      </c>
      <c r="D147" s="5">
        <v>14.135748412172912</v>
      </c>
      <c r="E147" s="5">
        <v>11.138171360564073</v>
      </c>
      <c r="F147" s="5">
        <v>133.47112301343566</v>
      </c>
      <c r="G147" s="5">
        <v>125.3399932499174</v>
      </c>
      <c r="H147" s="5">
        <v>24.716556514287554</v>
      </c>
      <c r="I147" s="5">
        <v>1.0200412401854688</v>
      </c>
      <c r="J147" s="5">
        <v>28.393506361843766</v>
      </c>
      <c r="K147" s="5">
        <v>101.79727272552395</v>
      </c>
      <c r="L147" s="5">
        <v>5.7479186678875376</v>
      </c>
      <c r="M147" s="5" t="b">
        <v>0</v>
      </c>
      <c r="N147" s="5" t="b">
        <v>0</v>
      </c>
      <c r="O147" s="5" t="b">
        <v>0</v>
      </c>
      <c r="P147" s="5" t="b">
        <v>0</v>
      </c>
      <c r="Q147" s="5" t="b">
        <v>0</v>
      </c>
      <c r="R147" s="5" t="b">
        <v>0</v>
      </c>
      <c r="S147" s="5" t="b">
        <v>0</v>
      </c>
      <c r="T147" s="5" t="b">
        <v>0</v>
      </c>
      <c r="U147" s="5" t="b">
        <v>0</v>
      </c>
      <c r="V147" s="5" t="b">
        <v>0</v>
      </c>
      <c r="W147" s="5" t="b">
        <v>0</v>
      </c>
      <c r="X147" s="5">
        <v>2</v>
      </c>
      <c r="Y147" s="5">
        <v>0</v>
      </c>
      <c r="Z147" s="5" t="b">
        <v>0</v>
      </c>
      <c r="AA147" s="5">
        <v>4.1057553000000002</v>
      </c>
      <c r="AB147" s="5">
        <v>255.10963676694354</v>
      </c>
    </row>
    <row r="148" spans="2:28" x14ac:dyDescent="0.35">
      <c r="B148" s="5">
        <v>187</v>
      </c>
      <c r="C148" s="5">
        <v>210.43104137147137</v>
      </c>
      <c r="D148" s="5">
        <v>11.955839593916256</v>
      </c>
      <c r="E148" s="5">
        <v>8.7746520621144608</v>
      </c>
      <c r="F148" s="5">
        <v>135.38105575582966</v>
      </c>
      <c r="G148" s="5">
        <v>139.74636976138473</v>
      </c>
      <c r="H148" s="5">
        <v>14.264431413868685</v>
      </c>
      <c r="I148" s="5">
        <v>1.2113127580445613</v>
      </c>
      <c r="J148" s="5">
        <v>30.148358696543724</v>
      </c>
      <c r="K148" s="5">
        <v>52.458691977528701</v>
      </c>
      <c r="L148" s="5">
        <v>6.1730996819324702</v>
      </c>
      <c r="M148" s="5" t="b">
        <v>0</v>
      </c>
      <c r="N148" s="5" t="b">
        <v>0</v>
      </c>
      <c r="O148" s="5" t="b">
        <v>0</v>
      </c>
      <c r="P148" s="5" t="b">
        <v>0</v>
      </c>
      <c r="Q148" s="5" t="b">
        <v>0</v>
      </c>
      <c r="R148" s="5" t="b">
        <v>0</v>
      </c>
      <c r="S148" s="5" t="b">
        <v>0</v>
      </c>
      <c r="T148" s="5" t="b">
        <v>0</v>
      </c>
      <c r="U148" s="5" t="b">
        <v>0</v>
      </c>
      <c r="V148" s="5" t="b">
        <v>0</v>
      </c>
      <c r="W148" s="5" t="b">
        <v>0</v>
      </c>
      <c r="X148" s="5">
        <v>1</v>
      </c>
      <c r="Y148" s="5">
        <v>1</v>
      </c>
      <c r="Z148" s="5" t="b">
        <v>0</v>
      </c>
      <c r="AA148" s="5">
        <v>1.9052318000000001</v>
      </c>
      <c r="AB148" s="5">
        <v>256.15660457147135</v>
      </c>
    </row>
    <row r="149" spans="2:28" x14ac:dyDescent="0.35">
      <c r="B149" s="5">
        <v>198</v>
      </c>
      <c r="C149" s="5">
        <v>225.80842977395216</v>
      </c>
      <c r="D149" s="5">
        <v>13.374483748351846</v>
      </c>
      <c r="E149" s="5">
        <v>10.125697973366337</v>
      </c>
      <c r="F149" s="5">
        <v>135.49645201281058</v>
      </c>
      <c r="G149" s="5">
        <v>143.23129854155354</v>
      </c>
      <c r="H149" s="5">
        <v>24.182443359089479</v>
      </c>
      <c r="I149" s="5">
        <v>0.90803383992704723</v>
      </c>
      <c r="J149" s="5">
        <v>25.861372108042776</v>
      </c>
      <c r="K149" s="5">
        <v>76.468508379778555</v>
      </c>
      <c r="L149" s="5">
        <v>7.1569045925933326</v>
      </c>
      <c r="M149" s="5" t="b">
        <v>0</v>
      </c>
      <c r="N149" s="5" t="b">
        <v>0</v>
      </c>
      <c r="O149" s="5" t="b">
        <v>0</v>
      </c>
      <c r="P149" s="5" t="b">
        <v>0</v>
      </c>
      <c r="Q149" s="5" t="b">
        <v>0</v>
      </c>
      <c r="R149" s="5" t="b">
        <v>0</v>
      </c>
      <c r="S149" s="5" t="b">
        <v>0</v>
      </c>
      <c r="T149" s="5" t="b">
        <v>0</v>
      </c>
      <c r="U149" s="5" t="b">
        <v>0</v>
      </c>
      <c r="V149" s="5" t="b">
        <v>0</v>
      </c>
      <c r="W149" s="5" t="b">
        <v>0</v>
      </c>
      <c r="X149" s="5">
        <v>1</v>
      </c>
      <c r="Y149" s="5">
        <v>0</v>
      </c>
      <c r="Z149" s="5" t="b">
        <v>1</v>
      </c>
      <c r="AA149" s="5">
        <v>1.2757300000000003</v>
      </c>
      <c r="AB149" s="5">
        <v>256.42594977395214</v>
      </c>
    </row>
    <row r="150" spans="2:28" x14ac:dyDescent="0.35">
      <c r="B150" s="5">
        <v>142</v>
      </c>
      <c r="C150" s="5">
        <v>145.79648280888821</v>
      </c>
      <c r="D150" s="5">
        <v>10.578897835784321</v>
      </c>
      <c r="E150" s="5">
        <v>8.9778342102974484</v>
      </c>
      <c r="F150" s="5">
        <v>140.21443262158462</v>
      </c>
      <c r="G150" s="5">
        <v>118.45790462692031</v>
      </c>
      <c r="H150" s="5">
        <v>36.688927476668361</v>
      </c>
      <c r="I150" s="5">
        <v>1.2202789548866084</v>
      </c>
      <c r="J150" s="5">
        <v>29.586708584002952</v>
      </c>
      <c r="K150" s="5">
        <v>58.523648638159486</v>
      </c>
      <c r="L150" s="5">
        <v>6.4906954441735589</v>
      </c>
      <c r="M150" s="5" t="b">
        <v>0</v>
      </c>
      <c r="N150" s="5" t="b">
        <v>0</v>
      </c>
      <c r="O150" s="5" t="b">
        <v>1</v>
      </c>
      <c r="P150" s="5" t="b">
        <v>0</v>
      </c>
      <c r="Q150" s="5" t="b">
        <v>0</v>
      </c>
      <c r="R150" s="5" t="b">
        <v>0</v>
      </c>
      <c r="S150" s="5" t="b">
        <v>0</v>
      </c>
      <c r="T150" s="5" t="b">
        <v>0</v>
      </c>
      <c r="U150" s="5" t="b">
        <v>0</v>
      </c>
      <c r="V150" s="5" t="b">
        <v>1</v>
      </c>
      <c r="W150" s="5" t="b">
        <v>0</v>
      </c>
      <c r="X150" s="5">
        <v>2</v>
      </c>
      <c r="Y150" s="5">
        <v>1</v>
      </c>
      <c r="Z150" s="5" t="b">
        <v>1</v>
      </c>
      <c r="AA150" s="5">
        <v>4.6194305</v>
      </c>
      <c r="AB150" s="5">
        <v>256.66281480888824</v>
      </c>
    </row>
    <row r="151" spans="2:28" x14ac:dyDescent="0.35">
      <c r="B151" s="5">
        <v>158</v>
      </c>
      <c r="C151" s="5">
        <v>163.2825071949901</v>
      </c>
      <c r="D151" s="5">
        <v>10.832614160897483</v>
      </c>
      <c r="E151" s="5">
        <v>14.526714705166738</v>
      </c>
      <c r="F151" s="5">
        <v>140.32012107611436</v>
      </c>
      <c r="G151" s="5">
        <v>130.23540539776644</v>
      </c>
      <c r="H151" s="5">
        <v>55.664358261390973</v>
      </c>
      <c r="I151" s="5">
        <v>1.1701549040602059</v>
      </c>
      <c r="J151" s="5">
        <v>29.727247261881175</v>
      </c>
      <c r="K151" s="5">
        <v>72.899684264057967</v>
      </c>
      <c r="L151" s="5">
        <v>6.5394238235494839</v>
      </c>
      <c r="M151" s="5" t="b">
        <v>0</v>
      </c>
      <c r="N151" s="5" t="b">
        <v>0</v>
      </c>
      <c r="O151" s="5" t="b">
        <v>0</v>
      </c>
      <c r="P151" s="5" t="b">
        <v>0</v>
      </c>
      <c r="Q151" s="5" t="b">
        <v>0</v>
      </c>
      <c r="R151" s="5" t="b">
        <v>0</v>
      </c>
      <c r="S151" s="5" t="b">
        <v>0</v>
      </c>
      <c r="T151" s="5" t="b">
        <v>0</v>
      </c>
      <c r="U151" s="5" t="b">
        <v>1</v>
      </c>
      <c r="V151" s="5" t="b">
        <v>0</v>
      </c>
      <c r="W151" s="5" t="b">
        <v>0</v>
      </c>
      <c r="X151" s="5">
        <v>2</v>
      </c>
      <c r="Y151" s="5">
        <v>1</v>
      </c>
      <c r="Z151" s="5" t="b">
        <v>1</v>
      </c>
      <c r="AA151" s="5">
        <v>3.9071423999999997</v>
      </c>
      <c r="AB151" s="5">
        <v>257.05392479499011</v>
      </c>
    </row>
    <row r="152" spans="2:28" x14ac:dyDescent="0.35">
      <c r="B152" s="5">
        <v>161</v>
      </c>
      <c r="C152" s="5">
        <v>165.39555400951983</v>
      </c>
      <c r="D152" s="5">
        <v>12.177657589978011</v>
      </c>
      <c r="E152" s="5">
        <v>13.763037942112957</v>
      </c>
      <c r="F152" s="5">
        <v>138.65372062949581</v>
      </c>
      <c r="G152" s="5">
        <v>87.141333780609827</v>
      </c>
      <c r="H152" s="5">
        <v>5.4239382589136387</v>
      </c>
      <c r="I152" s="5">
        <v>1.2456824312713706</v>
      </c>
      <c r="J152" s="5">
        <v>28.395528612484323</v>
      </c>
      <c r="K152" s="5">
        <v>72.816938300369941</v>
      </c>
      <c r="L152" s="5">
        <v>6.2764490101310253</v>
      </c>
      <c r="M152" s="5" t="b">
        <v>0</v>
      </c>
      <c r="N152" s="5" t="b">
        <v>0</v>
      </c>
      <c r="O152" s="5" t="b">
        <v>1</v>
      </c>
      <c r="P152" s="5" t="b">
        <v>0</v>
      </c>
      <c r="Q152" s="5" t="b">
        <v>0</v>
      </c>
      <c r="R152" s="5" t="b">
        <v>0</v>
      </c>
      <c r="S152" s="5" t="b">
        <v>0</v>
      </c>
      <c r="T152" s="5" t="b">
        <v>0</v>
      </c>
      <c r="U152" s="5" t="b">
        <v>0</v>
      </c>
      <c r="V152" s="5" t="b">
        <v>0</v>
      </c>
      <c r="W152" s="5" t="b">
        <v>0</v>
      </c>
      <c r="X152" s="5">
        <v>0</v>
      </c>
      <c r="Y152" s="5">
        <v>1</v>
      </c>
      <c r="Z152" s="5" t="b">
        <v>1</v>
      </c>
      <c r="AA152" s="5">
        <v>3.8321888</v>
      </c>
      <c r="AB152" s="5">
        <v>257.36808520951985</v>
      </c>
    </row>
    <row r="153" spans="2:28" x14ac:dyDescent="0.35">
      <c r="B153" s="5">
        <v>159</v>
      </c>
      <c r="C153" s="5">
        <v>164.08993056982189</v>
      </c>
      <c r="D153" s="5">
        <v>11.117775962467958</v>
      </c>
      <c r="E153" s="5">
        <v>14.951166229230363</v>
      </c>
      <c r="F153" s="5">
        <v>139.805669024542</v>
      </c>
      <c r="G153" s="5">
        <v>112.69309530132473</v>
      </c>
      <c r="H153" s="5">
        <v>14.749385203750348</v>
      </c>
      <c r="I153" s="5">
        <v>1.2511886060146349</v>
      </c>
      <c r="J153" s="5">
        <v>29.299613659711056</v>
      </c>
      <c r="K153" s="5">
        <v>76.539662133379665</v>
      </c>
      <c r="L153" s="5">
        <v>6.2483704703240504</v>
      </c>
      <c r="M153" s="5" t="b">
        <v>0</v>
      </c>
      <c r="N153" s="5" t="b">
        <v>0</v>
      </c>
      <c r="O153" s="5" t="b">
        <v>0</v>
      </c>
      <c r="P153" s="5" t="b">
        <v>0</v>
      </c>
      <c r="Q153" s="5" t="b">
        <v>0</v>
      </c>
      <c r="R153" s="5" t="b">
        <v>0</v>
      </c>
      <c r="S153" s="5" t="b">
        <v>0</v>
      </c>
      <c r="T153" s="5" t="b">
        <v>0</v>
      </c>
      <c r="U153" s="5" t="b">
        <v>0</v>
      </c>
      <c r="V153" s="5" t="b">
        <v>0</v>
      </c>
      <c r="W153" s="5" t="b">
        <v>0</v>
      </c>
      <c r="X153" s="5">
        <v>0</v>
      </c>
      <c r="Y153" s="5">
        <v>2</v>
      </c>
      <c r="Z153" s="5" t="b">
        <v>1</v>
      </c>
      <c r="AA153" s="5">
        <v>3.9398958999999998</v>
      </c>
      <c r="AB153" s="5">
        <v>258.64743216982185</v>
      </c>
    </row>
    <row r="154" spans="2:28" x14ac:dyDescent="0.35">
      <c r="B154" s="5">
        <v>101</v>
      </c>
      <c r="C154" s="5">
        <v>100.27676869834606</v>
      </c>
      <c r="D154" s="5">
        <v>9.7189218496997221</v>
      </c>
      <c r="E154" s="5">
        <v>1.4804967958485733</v>
      </c>
      <c r="F154" s="5">
        <v>141.51310435521853</v>
      </c>
      <c r="G154" s="5">
        <v>138.08337076118258</v>
      </c>
      <c r="H154" s="5">
        <v>22.584913632468293</v>
      </c>
      <c r="I154" s="5">
        <v>0.73993868247214145</v>
      </c>
      <c r="J154" s="5">
        <v>33.31450052945447</v>
      </c>
      <c r="K154" s="5">
        <v>86.060244727798931</v>
      </c>
      <c r="L154" s="5">
        <v>6.8539951308975686</v>
      </c>
      <c r="M154" s="5" t="b">
        <v>0</v>
      </c>
      <c r="N154" s="5" t="b">
        <v>0</v>
      </c>
      <c r="O154" s="5" t="b">
        <v>0</v>
      </c>
      <c r="P154" s="5" t="b">
        <v>0</v>
      </c>
      <c r="Q154" s="5" t="b">
        <v>0</v>
      </c>
      <c r="R154" s="5" t="b">
        <v>0</v>
      </c>
      <c r="S154" s="5" t="b">
        <v>0</v>
      </c>
      <c r="T154" s="5" t="b">
        <v>0</v>
      </c>
      <c r="U154" s="5" t="b">
        <v>0</v>
      </c>
      <c r="V154" s="5" t="b">
        <v>0</v>
      </c>
      <c r="W154" s="5" t="b">
        <v>0</v>
      </c>
      <c r="X154" s="5">
        <v>2</v>
      </c>
      <c r="Y154" s="5">
        <v>1</v>
      </c>
      <c r="Z154" s="5" t="b">
        <v>1</v>
      </c>
      <c r="AA154" s="5">
        <v>6.5999746000000004</v>
      </c>
      <c r="AB154" s="5">
        <v>258.67615909834609</v>
      </c>
    </row>
    <row r="155" spans="2:28" x14ac:dyDescent="0.35">
      <c r="B155" s="5">
        <v>137</v>
      </c>
      <c r="C155" s="5">
        <v>139.37644380073073</v>
      </c>
      <c r="D155" s="5">
        <v>9.6070182447996295</v>
      </c>
      <c r="E155" s="5">
        <v>11.779198392237934</v>
      </c>
      <c r="F155" s="5">
        <v>134.51475181436805</v>
      </c>
      <c r="G155" s="5">
        <v>169.27301611547796</v>
      </c>
      <c r="H155" s="5">
        <v>8.0114796657987579</v>
      </c>
      <c r="I155" s="5">
        <v>0.88959670592182749</v>
      </c>
      <c r="J155" s="5">
        <v>29.252301978887719</v>
      </c>
      <c r="K155" s="5">
        <v>64.568260863251098</v>
      </c>
      <c r="L155" s="5">
        <v>5.6635483154735882</v>
      </c>
      <c r="M155" s="5" t="b">
        <v>0</v>
      </c>
      <c r="N155" s="5" t="b">
        <v>0</v>
      </c>
      <c r="O155" s="5" t="b">
        <v>1</v>
      </c>
      <c r="P155" s="5" t="b">
        <v>0</v>
      </c>
      <c r="Q155" s="5" t="b">
        <v>0</v>
      </c>
      <c r="R155" s="5" t="b">
        <v>0</v>
      </c>
      <c r="S155" s="5" t="b">
        <v>0</v>
      </c>
      <c r="T155" s="5" t="b">
        <v>0</v>
      </c>
      <c r="U155" s="5" t="b">
        <v>0</v>
      </c>
      <c r="V155" s="5" t="b">
        <v>0</v>
      </c>
      <c r="W155" s="5" t="b">
        <v>0</v>
      </c>
      <c r="X155" s="5">
        <v>1</v>
      </c>
      <c r="Y155" s="5">
        <v>1</v>
      </c>
      <c r="Z155" s="5" t="b">
        <v>1</v>
      </c>
      <c r="AA155" s="5">
        <v>4.9765066999999998</v>
      </c>
      <c r="AB155" s="5">
        <v>258.81260460073071</v>
      </c>
    </row>
    <row r="156" spans="2:28" x14ac:dyDescent="0.35">
      <c r="B156" s="5">
        <v>148</v>
      </c>
      <c r="C156" s="5">
        <v>154.08704098884971</v>
      </c>
      <c r="D156" s="5">
        <v>12.148170763720595</v>
      </c>
      <c r="E156" s="5">
        <v>12.995962967120175</v>
      </c>
      <c r="F156" s="5">
        <v>135.01106892769118</v>
      </c>
      <c r="G156" s="5">
        <v>99.692423342055733</v>
      </c>
      <c r="H156" s="5">
        <v>6.7375689641027439</v>
      </c>
      <c r="I156" s="5">
        <v>1.1493590515170877</v>
      </c>
      <c r="J156" s="5">
        <v>30.098912130141589</v>
      </c>
      <c r="K156" s="5">
        <v>93.014784510435007</v>
      </c>
      <c r="L156" s="5">
        <v>6.9729655853134238</v>
      </c>
      <c r="M156" s="5" t="b">
        <v>1</v>
      </c>
      <c r="N156" s="5" t="b">
        <v>0</v>
      </c>
      <c r="O156" s="5" t="b">
        <v>0</v>
      </c>
      <c r="P156" s="5" t="b">
        <v>1</v>
      </c>
      <c r="Q156" s="5" t="b">
        <v>0</v>
      </c>
      <c r="R156" s="5" t="b">
        <v>0</v>
      </c>
      <c r="S156" s="5" t="b">
        <v>0</v>
      </c>
      <c r="T156" s="5" t="b">
        <v>0</v>
      </c>
      <c r="U156" s="5" t="b">
        <v>0</v>
      </c>
      <c r="V156" s="5" t="b">
        <v>0</v>
      </c>
      <c r="W156" s="5" t="b">
        <v>0</v>
      </c>
      <c r="X156" s="5">
        <v>0</v>
      </c>
      <c r="Y156" s="5">
        <v>1</v>
      </c>
      <c r="Z156" s="5" t="b">
        <v>1</v>
      </c>
      <c r="AA156" s="5">
        <v>4.4413942999999998</v>
      </c>
      <c r="AB156" s="5">
        <v>260.68050418884968</v>
      </c>
    </row>
    <row r="157" spans="2:28" x14ac:dyDescent="0.35">
      <c r="B157" s="5">
        <v>144</v>
      </c>
      <c r="C157" s="5">
        <v>146.96367766052072</v>
      </c>
      <c r="D157" s="5">
        <v>12.0172955358331</v>
      </c>
      <c r="E157" s="5">
        <v>3.2045567469170217</v>
      </c>
      <c r="F157" s="5">
        <v>136.96966255045606</v>
      </c>
      <c r="G157" s="5">
        <v>167.11230077834929</v>
      </c>
      <c r="H157" s="5">
        <v>4.3532997419559241</v>
      </c>
      <c r="I157" s="5">
        <v>1.1382255568577313</v>
      </c>
      <c r="J157" s="5">
        <v>29.99931314421428</v>
      </c>
      <c r="K157" s="5">
        <v>54.919221247425291</v>
      </c>
      <c r="L157" s="5">
        <v>6.5341557231597109</v>
      </c>
      <c r="M157" s="5" t="b">
        <v>0</v>
      </c>
      <c r="N157" s="5" t="b">
        <v>0</v>
      </c>
      <c r="O157" s="5" t="b">
        <v>0</v>
      </c>
      <c r="P157" s="5" t="b">
        <v>0</v>
      </c>
      <c r="Q157" s="5" t="b">
        <v>1</v>
      </c>
      <c r="R157" s="5" t="b">
        <v>1</v>
      </c>
      <c r="S157" s="5" t="b">
        <v>0</v>
      </c>
      <c r="T157" s="5" t="b">
        <v>0</v>
      </c>
      <c r="U157" s="5" t="b">
        <v>0</v>
      </c>
      <c r="V157" s="5" t="b">
        <v>0</v>
      </c>
      <c r="W157" s="5" t="b">
        <v>0</v>
      </c>
      <c r="X157" s="5">
        <v>2</v>
      </c>
      <c r="Y157" s="5">
        <v>1</v>
      </c>
      <c r="Z157" s="5" t="b">
        <v>0</v>
      </c>
      <c r="AA157" s="5">
        <v>4.7556643000000003</v>
      </c>
      <c r="AB157" s="5">
        <v>261.0996208605207</v>
      </c>
    </row>
    <row r="158" spans="2:28" x14ac:dyDescent="0.35">
      <c r="B158" s="5">
        <v>122</v>
      </c>
      <c r="C158" s="5">
        <v>121.58492397643533</v>
      </c>
      <c r="D158" s="5">
        <v>12.997968589575779</v>
      </c>
      <c r="E158" s="5">
        <v>14.323521512377621</v>
      </c>
      <c r="F158" s="5">
        <v>135.54423324718991</v>
      </c>
      <c r="G158" s="5">
        <v>105.00486335463044</v>
      </c>
      <c r="H158" s="5">
        <v>11.903898662981856</v>
      </c>
      <c r="I158" s="5">
        <v>1.3498604846525524</v>
      </c>
      <c r="J158" s="5">
        <v>28.679914262576709</v>
      </c>
      <c r="K158" s="5">
        <v>92.906698059701768</v>
      </c>
      <c r="L158" s="5">
        <v>6.3672860081231191</v>
      </c>
      <c r="M158" s="5" t="b">
        <v>0</v>
      </c>
      <c r="N158" s="5" t="b">
        <v>0</v>
      </c>
      <c r="O158" s="5" t="b">
        <v>0</v>
      </c>
      <c r="P158" s="5" t="b">
        <v>0</v>
      </c>
      <c r="Q158" s="5" t="b">
        <v>0</v>
      </c>
      <c r="R158" s="5" t="b">
        <v>1</v>
      </c>
      <c r="S158" s="5" t="b">
        <v>1</v>
      </c>
      <c r="T158" s="5" t="b">
        <v>0</v>
      </c>
      <c r="U158" s="5" t="b">
        <v>0</v>
      </c>
      <c r="V158" s="5" t="b">
        <v>0</v>
      </c>
      <c r="W158" s="5" t="b">
        <v>0</v>
      </c>
      <c r="X158" s="5">
        <v>0</v>
      </c>
      <c r="Y158" s="5">
        <v>2</v>
      </c>
      <c r="Z158" s="5" t="b">
        <v>1</v>
      </c>
      <c r="AA158" s="5">
        <v>5.9036720000000003</v>
      </c>
      <c r="AB158" s="5">
        <v>263.27305197643534</v>
      </c>
    </row>
    <row r="159" spans="2:28" x14ac:dyDescent="0.35">
      <c r="B159" s="5">
        <v>205</v>
      </c>
      <c r="C159" s="5">
        <v>239.80482364152374</v>
      </c>
      <c r="D159" s="5">
        <v>11.6737546513612</v>
      </c>
      <c r="E159" s="5">
        <v>15.601979861264484</v>
      </c>
      <c r="F159" s="5">
        <v>138.91000445720309</v>
      </c>
      <c r="G159" s="5">
        <v>141.93805154887409</v>
      </c>
      <c r="H159" s="5">
        <v>17.345385549246689</v>
      </c>
      <c r="I159" s="5">
        <v>1.0184693366988664</v>
      </c>
      <c r="J159" s="5">
        <v>29.056096044224731</v>
      </c>
      <c r="K159" s="5">
        <v>66.301499175409774</v>
      </c>
      <c r="L159" s="5">
        <v>6.4244206974151545</v>
      </c>
      <c r="M159" s="5" t="b">
        <v>0</v>
      </c>
      <c r="N159" s="5" t="b">
        <v>0</v>
      </c>
      <c r="O159" s="5" t="b">
        <v>0</v>
      </c>
      <c r="P159" s="5" t="b">
        <v>0</v>
      </c>
      <c r="Q159" s="5" t="b">
        <v>0</v>
      </c>
      <c r="R159" s="5" t="b">
        <v>0</v>
      </c>
      <c r="S159" s="5" t="b">
        <v>0</v>
      </c>
      <c r="T159" s="5" t="b">
        <v>0</v>
      </c>
      <c r="U159" s="5" t="b">
        <v>0</v>
      </c>
      <c r="V159" s="5" t="b">
        <v>0</v>
      </c>
      <c r="W159" s="5" t="b">
        <v>0</v>
      </c>
      <c r="X159" s="5">
        <v>2</v>
      </c>
      <c r="Y159" s="5">
        <v>0</v>
      </c>
      <c r="Z159" s="5" t="b">
        <v>1</v>
      </c>
      <c r="AA159" s="5">
        <v>0.98358690000000015</v>
      </c>
      <c r="AB159" s="5">
        <v>263.41090924152377</v>
      </c>
    </row>
    <row r="160" spans="2:28" x14ac:dyDescent="0.35">
      <c r="B160" s="5">
        <v>174</v>
      </c>
      <c r="C160" s="5">
        <v>190.78206879461402</v>
      </c>
      <c r="D160" s="5">
        <v>11.153306830554019</v>
      </c>
      <c r="E160" s="5">
        <v>9.2611703701861021</v>
      </c>
      <c r="F160" s="5">
        <v>134.91010719661335</v>
      </c>
      <c r="G160" s="5">
        <v>116.53187851603114</v>
      </c>
      <c r="H160" s="5">
        <v>6.770551175824937</v>
      </c>
      <c r="I160" s="5">
        <v>1.2938602927149341</v>
      </c>
      <c r="J160" s="5">
        <v>31.168602098964111</v>
      </c>
      <c r="K160" s="5">
        <v>46.118442518657986</v>
      </c>
      <c r="L160" s="5">
        <v>6.615477829300227</v>
      </c>
      <c r="M160" s="5" t="b">
        <v>0</v>
      </c>
      <c r="N160" s="5" t="b">
        <v>0</v>
      </c>
      <c r="O160" s="5" t="b">
        <v>0</v>
      </c>
      <c r="P160" s="5" t="b">
        <v>1</v>
      </c>
      <c r="Q160" s="5" t="b">
        <v>0</v>
      </c>
      <c r="R160" s="5" t="b">
        <v>0</v>
      </c>
      <c r="S160" s="5" t="b">
        <v>0</v>
      </c>
      <c r="T160" s="5" t="b">
        <v>0</v>
      </c>
      <c r="U160" s="5" t="b">
        <v>0</v>
      </c>
      <c r="V160" s="5" t="b">
        <v>0</v>
      </c>
      <c r="W160" s="5" t="b">
        <v>0</v>
      </c>
      <c r="X160" s="5">
        <v>0</v>
      </c>
      <c r="Y160" s="5">
        <v>0</v>
      </c>
      <c r="Z160" s="5" t="b">
        <v>0</v>
      </c>
      <c r="AA160" s="5">
        <v>3.0844361999999999</v>
      </c>
      <c r="AB160" s="5">
        <v>264.80853759461399</v>
      </c>
    </row>
    <row r="161" spans="2:169" x14ac:dyDescent="0.35">
      <c r="B161" s="5">
        <v>194</v>
      </c>
      <c r="C161" s="5">
        <v>222.07581101046719</v>
      </c>
      <c r="D161" s="5">
        <v>11.987319222074214</v>
      </c>
      <c r="E161" s="5">
        <v>20.475888685799319</v>
      </c>
      <c r="F161" s="5">
        <v>132.23960515333823</v>
      </c>
      <c r="G161" s="5">
        <v>106.38847615033987</v>
      </c>
      <c r="H161" s="5">
        <v>0.30036985076926648</v>
      </c>
      <c r="I161" s="5">
        <v>1.08309292004487</v>
      </c>
      <c r="J161" s="5">
        <v>31.436474398905563</v>
      </c>
      <c r="K161" s="5">
        <v>73.065940504422201</v>
      </c>
      <c r="L161" s="5">
        <v>6.7259667772344134</v>
      </c>
      <c r="M161" s="5" t="b">
        <v>0</v>
      </c>
      <c r="N161" s="5" t="b">
        <v>0</v>
      </c>
      <c r="O161" s="5" t="b">
        <v>0</v>
      </c>
      <c r="P161" s="5" t="b">
        <v>0</v>
      </c>
      <c r="Q161" s="5" t="b">
        <v>0</v>
      </c>
      <c r="R161" s="5" t="b">
        <v>0</v>
      </c>
      <c r="S161" s="5" t="b">
        <v>0</v>
      </c>
      <c r="T161" s="5" t="b">
        <v>0</v>
      </c>
      <c r="U161" s="5" t="b">
        <v>0</v>
      </c>
      <c r="V161" s="5" t="b">
        <v>0</v>
      </c>
      <c r="W161" s="5" t="b">
        <v>0</v>
      </c>
      <c r="X161" s="5">
        <v>0</v>
      </c>
      <c r="Y161" s="5">
        <v>0</v>
      </c>
      <c r="Z161" s="5" t="b">
        <v>0</v>
      </c>
      <c r="AA161" s="5">
        <v>1.8553503</v>
      </c>
      <c r="AB161" s="5">
        <v>266.6042182104672</v>
      </c>
    </row>
    <row r="162" spans="2:169" x14ac:dyDescent="0.35">
      <c r="B162" s="5">
        <v>165</v>
      </c>
      <c r="C162" s="5">
        <v>167.73891000080403</v>
      </c>
      <c r="D162" s="5">
        <v>10.157680570519073</v>
      </c>
      <c r="E162" s="5">
        <v>4.2128959213011541</v>
      </c>
      <c r="F162" s="5">
        <v>134.5791779281181</v>
      </c>
      <c r="G162" s="5">
        <v>203.87784194165602</v>
      </c>
      <c r="H162" s="5">
        <v>8.7538298726380717</v>
      </c>
      <c r="I162" s="5">
        <v>1.2772655539462767</v>
      </c>
      <c r="J162" s="5">
        <v>24.793890966985192</v>
      </c>
      <c r="K162" s="5">
        <v>78.844250536321809</v>
      </c>
      <c r="L162" s="5">
        <v>5.4812127576449212</v>
      </c>
      <c r="M162" s="5" t="b">
        <v>0</v>
      </c>
      <c r="N162" s="5" t="b">
        <v>0</v>
      </c>
      <c r="O162" s="5" t="b">
        <v>0</v>
      </c>
      <c r="P162" s="5" t="b">
        <v>0</v>
      </c>
      <c r="Q162" s="5" t="b">
        <v>0</v>
      </c>
      <c r="R162" s="5" t="b">
        <v>0</v>
      </c>
      <c r="S162" s="5" t="b">
        <v>0</v>
      </c>
      <c r="T162" s="5" t="b">
        <v>0</v>
      </c>
      <c r="U162" s="5" t="b">
        <v>0</v>
      </c>
      <c r="V162" s="5" t="b">
        <v>0</v>
      </c>
      <c r="W162" s="5" t="b">
        <v>0</v>
      </c>
      <c r="X162" s="5">
        <v>2</v>
      </c>
      <c r="Y162" s="5">
        <v>0</v>
      </c>
      <c r="Z162" s="5" t="b">
        <v>0</v>
      </c>
      <c r="AA162" s="5">
        <v>4.1758540000000002</v>
      </c>
      <c r="AB162" s="5">
        <v>267.95940600080405</v>
      </c>
    </row>
    <row r="163" spans="2:169" x14ac:dyDescent="0.35">
      <c r="B163" s="5">
        <v>168</v>
      </c>
      <c r="C163" s="5">
        <v>173.26433277973487</v>
      </c>
      <c r="D163" s="5">
        <v>11.548163589211144</v>
      </c>
      <c r="E163" s="5">
        <v>9.1537735522796595</v>
      </c>
      <c r="F163" s="5">
        <v>140.12676235279486</v>
      </c>
      <c r="G163" s="5">
        <v>121.23623999647296</v>
      </c>
      <c r="H163" s="5">
        <v>12.605236433981773</v>
      </c>
      <c r="I163" s="5">
        <v>1.0788010624397069</v>
      </c>
      <c r="J163" s="5">
        <v>29.898905619627303</v>
      </c>
      <c r="K163" s="5">
        <v>91.748307944091451</v>
      </c>
      <c r="L163" s="5">
        <v>6.0940884332505805</v>
      </c>
      <c r="M163" s="5" t="b">
        <v>0</v>
      </c>
      <c r="N163" s="5" t="b">
        <v>0</v>
      </c>
      <c r="O163" s="5" t="b">
        <v>0</v>
      </c>
      <c r="P163" s="5" t="b">
        <v>0</v>
      </c>
      <c r="Q163" s="5" t="b">
        <v>0</v>
      </c>
      <c r="R163" s="5" t="b">
        <v>0</v>
      </c>
      <c r="S163" s="5" t="b">
        <v>0</v>
      </c>
      <c r="T163" s="5" t="b">
        <v>1</v>
      </c>
      <c r="U163" s="5" t="b">
        <v>0</v>
      </c>
      <c r="V163" s="5" t="b">
        <v>0</v>
      </c>
      <c r="W163" s="5" t="b">
        <v>0</v>
      </c>
      <c r="X163" s="5">
        <v>0</v>
      </c>
      <c r="Y163" s="5">
        <v>1</v>
      </c>
      <c r="Z163" s="5" t="b">
        <v>0</v>
      </c>
      <c r="AA163" s="5">
        <v>3.9682070999999999</v>
      </c>
      <c r="AB163" s="5">
        <v>268.50130317973486</v>
      </c>
      <c r="FC163">
        <v>3</v>
      </c>
    </row>
    <row r="164" spans="2:169" x14ac:dyDescent="0.35">
      <c r="B164" s="5">
        <v>108</v>
      </c>
      <c r="C164" s="5">
        <v>104.05360355518083</v>
      </c>
      <c r="D164" s="5">
        <v>9.4851458578638859</v>
      </c>
      <c r="E164" s="5">
        <v>18.505078524618611</v>
      </c>
      <c r="F164" s="5">
        <v>144.33308935616483</v>
      </c>
      <c r="G164" s="5">
        <v>113.87229526089304</v>
      </c>
      <c r="H164" s="5">
        <v>24.553788688888766</v>
      </c>
      <c r="I164" s="5">
        <v>0.84867984637521854</v>
      </c>
      <c r="J164" s="5">
        <v>30.116515304483933</v>
      </c>
      <c r="K164" s="5">
        <v>73.278422783114195</v>
      </c>
      <c r="L164" s="5">
        <v>7.0943368767693364</v>
      </c>
      <c r="M164" s="5" t="b">
        <v>0</v>
      </c>
      <c r="N164" s="5" t="b">
        <v>0</v>
      </c>
      <c r="O164" s="5" t="b">
        <v>0</v>
      </c>
      <c r="P164" s="5" t="b">
        <v>0</v>
      </c>
      <c r="Q164" s="5" t="b">
        <v>0</v>
      </c>
      <c r="R164" s="5" t="b">
        <v>1</v>
      </c>
      <c r="S164" s="5" t="b">
        <v>0</v>
      </c>
      <c r="T164" s="5" t="b">
        <v>0</v>
      </c>
      <c r="U164" s="5" t="b">
        <v>0</v>
      </c>
      <c r="V164" s="5" t="b">
        <v>0</v>
      </c>
      <c r="W164" s="5" t="b">
        <v>0</v>
      </c>
      <c r="X164" s="5">
        <v>1</v>
      </c>
      <c r="Y164" s="5">
        <v>1</v>
      </c>
      <c r="Z164" s="5" t="b">
        <v>1</v>
      </c>
      <c r="AA164" s="5">
        <v>7.0044985000000004</v>
      </c>
      <c r="AB164" s="5">
        <v>272.16156755518085</v>
      </c>
    </row>
    <row r="165" spans="2:169" x14ac:dyDescent="0.35">
      <c r="B165" s="5">
        <v>153</v>
      </c>
      <c r="C165" s="5">
        <v>157.83923074598297</v>
      </c>
      <c r="D165" s="5">
        <v>10.830398316949477</v>
      </c>
      <c r="E165" s="5">
        <v>6.4603699827168919</v>
      </c>
      <c r="F165" s="5">
        <v>140.79745010985295</v>
      </c>
      <c r="G165" s="5">
        <v>165.15053543696547</v>
      </c>
      <c r="H165" s="5">
        <v>8.2335729995576834</v>
      </c>
      <c r="I165" s="5">
        <v>1.3304194412256862</v>
      </c>
      <c r="J165" s="5">
        <v>29.157180919799469</v>
      </c>
      <c r="K165" s="5">
        <v>71.663601566120946</v>
      </c>
      <c r="L165" s="5">
        <v>6.8957620734422305</v>
      </c>
      <c r="M165" s="5" t="b">
        <v>0</v>
      </c>
      <c r="N165" s="5" t="b">
        <v>0</v>
      </c>
      <c r="O165" s="5" t="b">
        <v>1</v>
      </c>
      <c r="P165" s="5" t="b">
        <v>0</v>
      </c>
      <c r="Q165" s="5" t="b">
        <v>0</v>
      </c>
      <c r="R165" s="5" t="b">
        <v>1</v>
      </c>
      <c r="S165" s="5" t="b">
        <v>0</v>
      </c>
      <c r="T165" s="5" t="b">
        <v>0</v>
      </c>
      <c r="U165" s="5" t="b">
        <v>0</v>
      </c>
      <c r="V165" s="5" t="b">
        <v>0</v>
      </c>
      <c r="W165" s="5" t="b">
        <v>0</v>
      </c>
      <c r="X165" s="5">
        <v>1</v>
      </c>
      <c r="Y165" s="5">
        <v>2</v>
      </c>
      <c r="Z165" s="5" t="b">
        <v>1</v>
      </c>
      <c r="AA165" s="5">
        <v>4.917338</v>
      </c>
      <c r="AB165" s="5">
        <v>275.85534274598297</v>
      </c>
    </row>
    <row r="166" spans="2:169" x14ac:dyDescent="0.35">
      <c r="B166" s="5">
        <v>162</v>
      </c>
      <c r="C166" s="5">
        <v>165.40259628391689</v>
      </c>
      <c r="D166" s="5">
        <v>11.923656538375912</v>
      </c>
      <c r="E166" s="5">
        <v>7.4075576519829642</v>
      </c>
      <c r="F166" s="5">
        <v>137.34783396052197</v>
      </c>
      <c r="G166" s="5">
        <v>208.23011957787546</v>
      </c>
      <c r="H166" s="5">
        <v>12.29656273287779</v>
      </c>
      <c r="I166" s="5">
        <v>0.95419385042343952</v>
      </c>
      <c r="J166" s="5">
        <v>30.246477875469729</v>
      </c>
      <c r="K166" s="5">
        <v>63.145666608665209</v>
      </c>
      <c r="L166" s="5">
        <v>7.3766503525671396</v>
      </c>
      <c r="M166" s="5" t="b">
        <v>0</v>
      </c>
      <c r="N166" s="5" t="b">
        <v>0</v>
      </c>
      <c r="O166" s="5" t="b">
        <v>0</v>
      </c>
      <c r="P166" s="5" t="b">
        <v>0</v>
      </c>
      <c r="Q166" s="5" t="b">
        <v>0</v>
      </c>
      <c r="R166" s="5" t="b">
        <v>1</v>
      </c>
      <c r="S166" s="5" t="b">
        <v>0</v>
      </c>
      <c r="T166" s="5" t="b">
        <v>0</v>
      </c>
      <c r="U166" s="5" t="b">
        <v>0</v>
      </c>
      <c r="V166" s="5" t="b">
        <v>0</v>
      </c>
      <c r="W166" s="5" t="b">
        <v>0</v>
      </c>
      <c r="X166" s="5">
        <v>2</v>
      </c>
      <c r="Y166" s="5">
        <v>1</v>
      </c>
      <c r="Z166" s="5" t="b">
        <v>0</v>
      </c>
      <c r="AA166" s="5">
        <v>4.6054919999999999</v>
      </c>
      <c r="AB166" s="5">
        <v>275.93440428391688</v>
      </c>
    </row>
    <row r="167" spans="2:169" x14ac:dyDescent="0.35">
      <c r="B167" s="5">
        <v>164</v>
      </c>
      <c r="C167" s="5">
        <v>167.32086699146717</v>
      </c>
      <c r="D167" s="5">
        <v>11.645916194562657</v>
      </c>
      <c r="E167" s="5">
        <v>20.411707609269001</v>
      </c>
      <c r="F167" s="5">
        <v>142.85211415391089</v>
      </c>
      <c r="G167" s="5">
        <v>151.1252741071072</v>
      </c>
      <c r="H167" s="5">
        <v>4.881314751555605</v>
      </c>
      <c r="I167" s="5">
        <v>0.99297849536366867</v>
      </c>
      <c r="J167" s="5">
        <v>30.573525661746579</v>
      </c>
      <c r="K167" s="5">
        <v>67.850771436407911</v>
      </c>
      <c r="L167" s="5">
        <v>6.6310575697220457</v>
      </c>
      <c r="M167" s="5" t="b">
        <v>0</v>
      </c>
      <c r="N167" s="5" t="b">
        <v>0</v>
      </c>
      <c r="O167" s="5" t="b">
        <v>0</v>
      </c>
      <c r="P167" s="5" t="b">
        <v>0</v>
      </c>
      <c r="Q167" s="5" t="b">
        <v>0</v>
      </c>
      <c r="R167" s="5" t="b">
        <v>0</v>
      </c>
      <c r="S167" s="5" t="b">
        <v>0</v>
      </c>
      <c r="T167" s="5" t="b">
        <v>0</v>
      </c>
      <c r="U167" s="5" t="b">
        <v>0</v>
      </c>
      <c r="V167" s="5" t="b">
        <v>0</v>
      </c>
      <c r="W167" s="5" t="b">
        <v>0</v>
      </c>
      <c r="X167" s="5">
        <v>3</v>
      </c>
      <c r="Y167" s="5">
        <v>2</v>
      </c>
      <c r="Z167" s="5" t="b">
        <v>0</v>
      </c>
      <c r="AA167" s="5">
        <v>4.7114859999999998</v>
      </c>
      <c r="AB167" s="5">
        <v>280.39653099146716</v>
      </c>
    </row>
    <row r="168" spans="2:169" x14ac:dyDescent="0.35">
      <c r="B168" s="5">
        <v>120</v>
      </c>
      <c r="C168" s="5">
        <v>119.48408919387893</v>
      </c>
      <c r="D168" s="5">
        <v>7.4157295809261061</v>
      </c>
      <c r="E168" s="5">
        <v>19.199858090923684</v>
      </c>
      <c r="F168" s="5">
        <v>144.09396693055049</v>
      </c>
      <c r="G168" s="5">
        <v>93.314181587815</v>
      </c>
      <c r="H168" s="5">
        <v>7.5373673216922628</v>
      </c>
      <c r="I168" s="5">
        <v>1.0046577254656621</v>
      </c>
      <c r="J168" s="5">
        <v>29.103854593852155</v>
      </c>
      <c r="K168" s="5">
        <v>80.203048018431261</v>
      </c>
      <c r="L168" s="5">
        <v>7.0238056103021131</v>
      </c>
      <c r="M168" s="5" t="b">
        <v>0</v>
      </c>
      <c r="N168" s="5" t="b">
        <v>0</v>
      </c>
      <c r="O168" s="5" t="b">
        <v>0</v>
      </c>
      <c r="P168" s="5" t="b">
        <v>0</v>
      </c>
      <c r="Q168" s="5" t="b">
        <v>0</v>
      </c>
      <c r="R168" s="5" t="b">
        <v>0</v>
      </c>
      <c r="S168" s="5" t="b">
        <v>0</v>
      </c>
      <c r="T168" s="5" t="b">
        <v>0</v>
      </c>
      <c r="U168" s="5" t="b">
        <v>0</v>
      </c>
      <c r="V168" s="5" t="b">
        <v>1</v>
      </c>
      <c r="W168" s="5" t="b">
        <v>0</v>
      </c>
      <c r="X168" s="5">
        <v>1</v>
      </c>
      <c r="Y168" s="5">
        <v>2</v>
      </c>
      <c r="Z168" s="5" t="b">
        <v>1</v>
      </c>
      <c r="AA168" s="5">
        <v>6.7877144999999999</v>
      </c>
      <c r="AB168" s="5">
        <v>282.38923719387896</v>
      </c>
    </row>
    <row r="169" spans="2:169" x14ac:dyDescent="0.35">
      <c r="B169" s="5">
        <v>139</v>
      </c>
      <c r="C169" s="5">
        <v>142.26197492972628</v>
      </c>
      <c r="D169" s="5">
        <v>11.602298811989959</v>
      </c>
      <c r="E169" s="5">
        <v>3.7417815930956841</v>
      </c>
      <c r="F169" s="5">
        <v>137.51740381967551</v>
      </c>
      <c r="G169" s="5">
        <v>126.68450657674742</v>
      </c>
      <c r="H169" s="5">
        <v>5.9369186702169117</v>
      </c>
      <c r="I169" s="5">
        <v>0.81462904434258276</v>
      </c>
      <c r="J169" s="5">
        <v>29.621887756110812</v>
      </c>
      <c r="K169" s="5">
        <v>72.516284560606849</v>
      </c>
      <c r="L169" s="5">
        <v>7.2439835647173023</v>
      </c>
      <c r="M169" s="5" t="b">
        <v>0</v>
      </c>
      <c r="N169" s="5" t="b">
        <v>0</v>
      </c>
      <c r="O169" s="5" t="b">
        <v>0</v>
      </c>
      <c r="P169" s="5" t="b">
        <v>0</v>
      </c>
      <c r="Q169" s="5" t="b">
        <v>1</v>
      </c>
      <c r="R169" s="5" t="b">
        <v>0</v>
      </c>
      <c r="S169" s="5" t="b">
        <v>0</v>
      </c>
      <c r="T169" s="5" t="b">
        <v>0</v>
      </c>
      <c r="U169" s="5" t="b">
        <v>0</v>
      </c>
      <c r="V169" s="5" t="b">
        <v>0</v>
      </c>
      <c r="W169" s="5" t="b">
        <v>0</v>
      </c>
      <c r="X169" s="5">
        <v>1</v>
      </c>
      <c r="Y169" s="5">
        <v>1</v>
      </c>
      <c r="Z169" s="5" t="b">
        <v>1</v>
      </c>
      <c r="AA169" s="5">
        <v>5.8519560000000004</v>
      </c>
      <c r="AB169" s="5">
        <v>282.70891892972628</v>
      </c>
    </row>
    <row r="170" spans="2:169" x14ac:dyDescent="0.35">
      <c r="B170" s="5">
        <v>179</v>
      </c>
      <c r="C170" s="5">
        <v>197.07832475060849</v>
      </c>
      <c r="D170" s="5">
        <v>11.008909415837413</v>
      </c>
      <c r="E170" s="5">
        <v>19.074701304912587</v>
      </c>
      <c r="F170" s="5">
        <v>139.51347721959397</v>
      </c>
      <c r="G170" s="5">
        <v>143.42489498148998</v>
      </c>
      <c r="H170" s="5">
        <v>12.443838173262925</v>
      </c>
      <c r="I170" s="5">
        <v>1.2091686677182372</v>
      </c>
      <c r="J170" s="5">
        <v>32.66192826782212</v>
      </c>
      <c r="K170" s="5">
        <v>78.71984631704143</v>
      </c>
      <c r="L170" s="5">
        <v>6.1151401730908317</v>
      </c>
      <c r="M170" s="5" t="b">
        <v>0</v>
      </c>
      <c r="N170" s="5" t="b">
        <v>0</v>
      </c>
      <c r="O170" s="5" t="b">
        <v>0</v>
      </c>
      <c r="P170" s="5" t="b">
        <v>0</v>
      </c>
      <c r="Q170" s="5" t="b">
        <v>0</v>
      </c>
      <c r="R170" s="5" t="b">
        <v>1</v>
      </c>
      <c r="S170" s="5" t="b">
        <v>0</v>
      </c>
      <c r="T170" s="5" t="b">
        <v>0</v>
      </c>
      <c r="U170" s="5" t="b">
        <v>0</v>
      </c>
      <c r="V170" s="5" t="b">
        <v>0</v>
      </c>
      <c r="W170" s="5" t="b">
        <v>0</v>
      </c>
      <c r="X170" s="5">
        <v>3</v>
      </c>
      <c r="Y170" s="5">
        <v>0</v>
      </c>
      <c r="Z170" s="5" t="b">
        <v>0</v>
      </c>
      <c r="AA170" s="5">
        <v>3.6121441999999995</v>
      </c>
      <c r="AB170" s="5">
        <v>283.7697855506085</v>
      </c>
    </row>
    <row r="171" spans="2:169" x14ac:dyDescent="0.35">
      <c r="B171" s="5">
        <v>180</v>
      </c>
      <c r="C171" s="5">
        <v>199.98210185109417</v>
      </c>
      <c r="D171" s="5">
        <v>10.124486063734496</v>
      </c>
      <c r="E171" s="5">
        <v>19.305763003242667</v>
      </c>
      <c r="F171" s="5">
        <v>137.73805724595147</v>
      </c>
      <c r="G171" s="5">
        <v>114.01409385866366</v>
      </c>
      <c r="H171" s="5">
        <v>9.3169917450348336</v>
      </c>
      <c r="I171" s="5">
        <v>1.2699210956992337</v>
      </c>
      <c r="J171" s="5">
        <v>31.595245127340828</v>
      </c>
      <c r="K171" s="5">
        <v>64.790942343186458</v>
      </c>
      <c r="L171" s="5">
        <v>6.3683644903126462</v>
      </c>
      <c r="M171" s="5" t="b">
        <v>0</v>
      </c>
      <c r="N171" s="5" t="b">
        <v>0</v>
      </c>
      <c r="O171" s="5" t="b">
        <v>0</v>
      </c>
      <c r="P171" s="5" t="b">
        <v>0</v>
      </c>
      <c r="Q171" s="5" t="b">
        <v>0</v>
      </c>
      <c r="R171" s="5" t="b">
        <v>1</v>
      </c>
      <c r="S171" s="5" t="b">
        <v>0</v>
      </c>
      <c r="T171" s="5" t="b">
        <v>0</v>
      </c>
      <c r="U171" s="5" t="b">
        <v>0</v>
      </c>
      <c r="V171" s="5" t="b">
        <v>0</v>
      </c>
      <c r="W171" s="5" t="b">
        <v>0</v>
      </c>
      <c r="X171" s="5">
        <v>2</v>
      </c>
      <c r="Y171" s="5">
        <v>0</v>
      </c>
      <c r="Z171" s="5" t="b">
        <v>0</v>
      </c>
      <c r="AA171" s="5">
        <v>3.4973235000000003</v>
      </c>
      <c r="AB171" s="5">
        <v>283.91786585109418</v>
      </c>
    </row>
    <row r="172" spans="2:169" x14ac:dyDescent="0.35">
      <c r="B172" s="5">
        <v>203</v>
      </c>
      <c r="C172" s="5">
        <v>237.7105893111011</v>
      </c>
      <c r="D172" s="5">
        <v>13.343790916654902</v>
      </c>
      <c r="E172" s="5">
        <v>8.4457083421370207</v>
      </c>
      <c r="F172" s="5">
        <v>141.4429570553157</v>
      </c>
      <c r="G172" s="5">
        <v>105.67824001255437</v>
      </c>
      <c r="H172" s="5">
        <v>29.475189428376837</v>
      </c>
      <c r="I172" s="5">
        <v>1.4302859857688199</v>
      </c>
      <c r="J172" s="5">
        <v>29.350750058549838</v>
      </c>
      <c r="K172" s="5">
        <v>76.656507464417061</v>
      </c>
      <c r="L172" s="5">
        <v>6.8037768940017145</v>
      </c>
      <c r="M172" s="5" t="b">
        <v>0</v>
      </c>
      <c r="N172" s="5" t="b">
        <v>0</v>
      </c>
      <c r="O172" s="5" t="b">
        <v>0</v>
      </c>
      <c r="P172" s="5" t="b">
        <v>0</v>
      </c>
      <c r="Q172" s="5" t="b">
        <v>0</v>
      </c>
      <c r="R172" s="5" t="b">
        <v>0</v>
      </c>
      <c r="S172" s="5" t="b">
        <v>0</v>
      </c>
      <c r="T172" s="5" t="b">
        <v>0</v>
      </c>
      <c r="U172" s="5" t="b">
        <v>0</v>
      </c>
      <c r="V172" s="5" t="b">
        <v>0</v>
      </c>
      <c r="W172" s="5" t="b">
        <v>0</v>
      </c>
      <c r="X172" s="5">
        <v>1</v>
      </c>
      <c r="Y172" s="5">
        <v>0</v>
      </c>
      <c r="Z172" s="5" t="b">
        <v>1</v>
      </c>
      <c r="AA172" s="5">
        <v>1.9400855999999997</v>
      </c>
      <c r="AB172" s="5">
        <v>284.27264371110107</v>
      </c>
    </row>
    <row r="173" spans="2:169" x14ac:dyDescent="0.35">
      <c r="B173" s="5">
        <v>134</v>
      </c>
      <c r="C173" s="5">
        <v>133.87364211494219</v>
      </c>
      <c r="D173" s="5">
        <v>13.87778759237284</v>
      </c>
      <c r="E173" s="5">
        <v>7.4526999260005322</v>
      </c>
      <c r="F173" s="5">
        <v>137.31986908432515</v>
      </c>
      <c r="G173" s="5">
        <v>185.22299916732987</v>
      </c>
      <c r="H173" s="5">
        <v>23.712296075252553</v>
      </c>
      <c r="I173" s="5">
        <v>1.2255025099935646</v>
      </c>
      <c r="J173" s="5">
        <v>27.881963588778323</v>
      </c>
      <c r="K173" s="5">
        <v>72.657687235793617</v>
      </c>
      <c r="L173" s="5">
        <v>6.0599177740908212</v>
      </c>
      <c r="M173" s="5" t="b">
        <v>0</v>
      </c>
      <c r="N173" s="5" t="b">
        <v>0</v>
      </c>
      <c r="O173" s="5" t="b">
        <v>0</v>
      </c>
      <c r="P173" s="5" t="b">
        <v>0</v>
      </c>
      <c r="Q173" s="5" t="b">
        <v>0</v>
      </c>
      <c r="R173" s="5" t="b">
        <v>0</v>
      </c>
      <c r="S173" s="5" t="b">
        <v>0</v>
      </c>
      <c r="T173" s="5" t="b">
        <v>0</v>
      </c>
      <c r="U173" s="5" t="b">
        <v>0</v>
      </c>
      <c r="V173" s="5" t="b">
        <v>0</v>
      </c>
      <c r="W173" s="5" t="b">
        <v>0</v>
      </c>
      <c r="X173" s="5">
        <v>1</v>
      </c>
      <c r="Y173" s="5">
        <v>4</v>
      </c>
      <c r="Z173" s="5" t="b">
        <v>1</v>
      </c>
      <c r="AA173" s="5">
        <v>6.3117340000000004</v>
      </c>
      <c r="AB173" s="5">
        <v>285.35525811494222</v>
      </c>
      <c r="FM173" t="s">
        <v>0</v>
      </c>
    </row>
    <row r="174" spans="2:169" x14ac:dyDescent="0.35">
      <c r="B174" s="5">
        <v>214</v>
      </c>
      <c r="C174" s="5">
        <v>252.85585537222676</v>
      </c>
      <c r="D174" s="5">
        <v>15.201979612018608</v>
      </c>
      <c r="E174" s="5">
        <v>8.4941926329301669</v>
      </c>
      <c r="F174" s="5">
        <v>139.63700111590424</v>
      </c>
      <c r="G174" s="5">
        <v>156.55905793879438</v>
      </c>
      <c r="H174" s="5">
        <v>15.300767273297929</v>
      </c>
      <c r="I174" s="5">
        <v>1.2501118880286604</v>
      </c>
      <c r="J174" s="5">
        <v>31.509563909011028</v>
      </c>
      <c r="K174" s="5">
        <v>79.045036924091164</v>
      </c>
      <c r="L174" s="5">
        <v>5.8184395643941746</v>
      </c>
      <c r="M174" s="5" t="b">
        <v>0</v>
      </c>
      <c r="N174" s="5" t="b">
        <v>0</v>
      </c>
      <c r="O174" s="5" t="b">
        <v>0</v>
      </c>
      <c r="P174" s="5" t="b">
        <v>0</v>
      </c>
      <c r="Q174" s="5" t="b">
        <v>0</v>
      </c>
      <c r="R174" s="5" t="b">
        <v>0</v>
      </c>
      <c r="S174" s="5" t="b">
        <v>0</v>
      </c>
      <c r="T174" s="5" t="b">
        <v>0</v>
      </c>
      <c r="U174" s="5" t="b">
        <v>0</v>
      </c>
      <c r="V174" s="5" t="b">
        <v>0</v>
      </c>
      <c r="W174" s="5" t="b">
        <v>0</v>
      </c>
      <c r="X174" s="5">
        <v>0</v>
      </c>
      <c r="Y174" s="5">
        <v>0</v>
      </c>
      <c r="Z174" s="5" t="b">
        <v>0</v>
      </c>
      <c r="AA174" s="5">
        <v>1.3646753</v>
      </c>
      <c r="AB174" s="5">
        <v>285.60806257222674</v>
      </c>
    </row>
    <row r="175" spans="2:169" x14ac:dyDescent="0.35">
      <c r="B175" s="5">
        <v>124</v>
      </c>
      <c r="C175" s="5">
        <v>122.98255025922543</v>
      </c>
      <c r="D175" s="5">
        <v>9.5866314071328738</v>
      </c>
      <c r="E175" s="5">
        <v>17.062541820379948</v>
      </c>
      <c r="F175" s="5">
        <v>133.53795302594585</v>
      </c>
      <c r="G175" s="5">
        <v>149.19842014707208</v>
      </c>
      <c r="H175" s="5">
        <v>24.520595315823442</v>
      </c>
      <c r="I175" s="5">
        <v>1.119863265944935</v>
      </c>
      <c r="J175" s="5">
        <v>28.419784348830618</v>
      </c>
      <c r="K175" s="5">
        <v>75.455806829569951</v>
      </c>
      <c r="L175" s="5">
        <v>6.3505951125361602</v>
      </c>
      <c r="M175" s="5" t="b">
        <v>0</v>
      </c>
      <c r="N175" s="5" t="b">
        <v>0</v>
      </c>
      <c r="O175" s="5" t="b">
        <v>0</v>
      </c>
      <c r="P175" s="5" t="b">
        <v>0</v>
      </c>
      <c r="Q175" s="5" t="b">
        <v>0</v>
      </c>
      <c r="R175" s="5" t="b">
        <v>0</v>
      </c>
      <c r="S175" s="5" t="b">
        <v>0</v>
      </c>
      <c r="T175" s="5" t="b">
        <v>0</v>
      </c>
      <c r="U175" s="5" t="b">
        <v>0</v>
      </c>
      <c r="V175" s="5" t="b">
        <v>0</v>
      </c>
      <c r="W175" s="5" t="b">
        <v>0</v>
      </c>
      <c r="X175" s="5">
        <v>1</v>
      </c>
      <c r="Y175" s="5">
        <v>3</v>
      </c>
      <c r="Z175" s="5" t="b">
        <v>1</v>
      </c>
      <c r="AA175" s="5">
        <v>6.8272880000000002</v>
      </c>
      <c r="AB175" s="5">
        <v>286.83746225922539</v>
      </c>
    </row>
    <row r="176" spans="2:169" x14ac:dyDescent="0.35">
      <c r="B176" s="5">
        <v>231</v>
      </c>
      <c r="C176" s="5">
        <v>266.6042182104672</v>
      </c>
      <c r="D176" s="5">
        <v>11.491219621010032</v>
      </c>
      <c r="E176" s="5">
        <v>9.2791782671845269</v>
      </c>
      <c r="F176" s="5">
        <v>137.89958048976439</v>
      </c>
      <c r="G176" s="5">
        <v>127.46565775734439</v>
      </c>
      <c r="H176" s="5">
        <v>15.949641880310503</v>
      </c>
      <c r="I176" s="5">
        <v>0.96681958558963377</v>
      </c>
      <c r="J176" s="5">
        <v>31.822733636055588</v>
      </c>
      <c r="K176" s="5">
        <v>77.172392024075606</v>
      </c>
      <c r="L176" s="5">
        <v>6.8097645002348779</v>
      </c>
      <c r="M176" s="5" t="b">
        <v>0</v>
      </c>
      <c r="N176" s="5" t="b">
        <v>0</v>
      </c>
      <c r="O176" s="5" t="b">
        <v>0</v>
      </c>
      <c r="P176" s="5" t="b">
        <v>0</v>
      </c>
      <c r="Q176" s="5" t="b">
        <v>0</v>
      </c>
      <c r="R176" s="5" t="b">
        <v>0</v>
      </c>
      <c r="S176" s="5" t="b">
        <v>0</v>
      </c>
      <c r="T176" s="5" t="b">
        <v>0</v>
      </c>
      <c r="U176" s="5" t="b">
        <v>0</v>
      </c>
      <c r="V176" s="5" t="b">
        <v>0</v>
      </c>
      <c r="W176" s="5" t="b">
        <v>0</v>
      </c>
      <c r="X176" s="5">
        <v>2</v>
      </c>
      <c r="Y176" s="5">
        <v>0</v>
      </c>
      <c r="Z176" s="5" t="b">
        <v>1</v>
      </c>
      <c r="AA176" s="5">
        <v>0.95475390000000004</v>
      </c>
      <c r="AB176" s="5">
        <v>289.5183118104672</v>
      </c>
    </row>
    <row r="177" spans="2:179" x14ac:dyDescent="0.35">
      <c r="B177" s="5">
        <v>201</v>
      </c>
      <c r="C177" s="5">
        <v>229.55045630310292</v>
      </c>
      <c r="D177" s="5">
        <v>12.871140779733746</v>
      </c>
      <c r="E177" s="5">
        <v>5.5834370504507902</v>
      </c>
      <c r="F177" s="5">
        <v>141.99376745879209</v>
      </c>
      <c r="G177" s="5">
        <v>118.62191582157979</v>
      </c>
      <c r="H177" s="5">
        <v>16.907154887355279</v>
      </c>
      <c r="I177" s="5">
        <v>1.1792025572051825</v>
      </c>
      <c r="J177" s="5">
        <v>33.775170756713813</v>
      </c>
      <c r="K177" s="5">
        <v>70.379386051172744</v>
      </c>
      <c r="L177" s="5">
        <v>7.0668261072263423</v>
      </c>
      <c r="M177" s="5" t="b">
        <v>0</v>
      </c>
      <c r="N177" s="5" t="b">
        <v>0</v>
      </c>
      <c r="O177" s="5" t="b">
        <v>0</v>
      </c>
      <c r="P177" s="5" t="b">
        <v>0</v>
      </c>
      <c r="Q177" s="5" t="b">
        <v>0</v>
      </c>
      <c r="R177" s="5" t="b">
        <v>0</v>
      </c>
      <c r="S177" s="5" t="b">
        <v>0</v>
      </c>
      <c r="T177" s="5" t="b">
        <v>0</v>
      </c>
      <c r="U177" s="5" t="b">
        <v>0</v>
      </c>
      <c r="V177" s="5" t="b">
        <v>0</v>
      </c>
      <c r="W177" s="5" t="b">
        <v>0</v>
      </c>
      <c r="X177" s="5">
        <v>3</v>
      </c>
      <c r="Y177" s="5">
        <v>1</v>
      </c>
      <c r="Z177" s="5" t="b">
        <v>1</v>
      </c>
      <c r="AA177" s="5">
        <v>2.5002441000000002</v>
      </c>
      <c r="AB177" s="5">
        <v>289.55631470310294</v>
      </c>
      <c r="FQ177" t="s">
        <v>0</v>
      </c>
    </row>
    <row r="178" spans="2:179" x14ac:dyDescent="0.35">
      <c r="B178" s="5">
        <v>171</v>
      </c>
      <c r="C178" s="5">
        <v>175.70237441404819</v>
      </c>
      <c r="D178" s="5">
        <v>10.848757872960867</v>
      </c>
      <c r="E178" s="5">
        <v>10.82266292034922</v>
      </c>
      <c r="F178" s="5">
        <v>142.17798001699731</v>
      </c>
      <c r="G178" s="5">
        <v>119.77625576219491</v>
      </c>
      <c r="H178" s="5">
        <v>37.961629009758248</v>
      </c>
      <c r="I178" s="5">
        <v>1.2536994687255709</v>
      </c>
      <c r="J178" s="5">
        <v>32.001569102661968</v>
      </c>
      <c r="K178" s="5">
        <v>88.903591436986943</v>
      </c>
      <c r="L178" s="5">
        <v>6.4624159625659798</v>
      </c>
      <c r="M178" s="5" t="b">
        <v>0</v>
      </c>
      <c r="N178" s="5" t="b">
        <v>0</v>
      </c>
      <c r="O178" s="5" t="b">
        <v>1</v>
      </c>
      <c r="P178" s="5" t="b">
        <v>0</v>
      </c>
      <c r="Q178" s="5" t="b">
        <v>0</v>
      </c>
      <c r="R178" s="5" t="b">
        <v>0</v>
      </c>
      <c r="S178" s="5" t="b">
        <v>0</v>
      </c>
      <c r="T178" s="5" t="b">
        <v>0</v>
      </c>
      <c r="U178" s="5" t="b">
        <v>0</v>
      </c>
      <c r="V178" s="5" t="b">
        <v>0</v>
      </c>
      <c r="W178" s="5" t="b">
        <v>0</v>
      </c>
      <c r="X178" s="5">
        <v>1</v>
      </c>
      <c r="Y178" s="5">
        <v>0</v>
      </c>
      <c r="Z178" s="5" t="b">
        <v>0</v>
      </c>
      <c r="AA178" s="5">
        <v>4.8078830000000004</v>
      </c>
      <c r="AB178" s="5">
        <v>291.0915664140482</v>
      </c>
    </row>
    <row r="179" spans="2:179" x14ac:dyDescent="0.35">
      <c r="B179" s="5">
        <v>181</v>
      </c>
      <c r="C179" s="5">
        <v>202.839849500095</v>
      </c>
      <c r="D179" s="5">
        <v>12.807928959193429</v>
      </c>
      <c r="E179" s="5">
        <v>12.916503137877228</v>
      </c>
      <c r="F179" s="5">
        <v>141.76244518620638</v>
      </c>
      <c r="G179" s="5">
        <v>106.75587092009971</v>
      </c>
      <c r="H179" s="5">
        <v>16.350172880722841</v>
      </c>
      <c r="I179" s="5">
        <v>1.3835695393500536</v>
      </c>
      <c r="J179" s="5">
        <v>28.84312352275558</v>
      </c>
      <c r="K179" s="5">
        <v>62.099477595935781</v>
      </c>
      <c r="L179" s="5">
        <v>4.9664710826301226</v>
      </c>
      <c r="M179" s="5" t="b">
        <v>0</v>
      </c>
      <c r="N179" s="5" t="b">
        <v>0</v>
      </c>
      <c r="O179" s="5" t="b">
        <v>0</v>
      </c>
      <c r="P179" s="5" t="b">
        <v>0</v>
      </c>
      <c r="Q179" s="5" t="b">
        <v>0</v>
      </c>
      <c r="R179" s="5" t="b">
        <v>0</v>
      </c>
      <c r="S179" s="5" t="b">
        <v>0</v>
      </c>
      <c r="T179" s="5" t="b">
        <v>0</v>
      </c>
      <c r="U179" s="5" t="b">
        <v>0</v>
      </c>
      <c r="V179" s="5" t="b">
        <v>0</v>
      </c>
      <c r="W179" s="5" t="b">
        <v>0</v>
      </c>
      <c r="X179" s="5">
        <v>0</v>
      </c>
      <c r="Y179" s="5">
        <v>1</v>
      </c>
      <c r="Z179" s="5" t="b">
        <v>0</v>
      </c>
      <c r="AA179" s="5">
        <v>3.6978111</v>
      </c>
      <c r="AB179" s="5">
        <v>291.58731590009501</v>
      </c>
    </row>
    <row r="180" spans="2:179" x14ac:dyDescent="0.35">
      <c r="B180" s="5">
        <v>210</v>
      </c>
      <c r="C180" s="5">
        <v>247.25752033130843</v>
      </c>
      <c r="D180" s="5">
        <v>12.946137933596914</v>
      </c>
      <c r="E180" s="5">
        <v>13.868434790175723</v>
      </c>
      <c r="F180" s="5">
        <v>134.48493009747133</v>
      </c>
      <c r="G180" s="5">
        <v>156.94293527058329</v>
      </c>
      <c r="H180" s="5">
        <v>16.812851354331123</v>
      </c>
      <c r="I180" s="5">
        <v>1.050936792189693</v>
      </c>
      <c r="J180" s="5">
        <v>28.324579221193524</v>
      </c>
      <c r="K180" s="5">
        <v>64.109126927477746</v>
      </c>
      <c r="L180" s="5">
        <v>7.0858637079244069</v>
      </c>
      <c r="M180" s="5" t="b">
        <v>0</v>
      </c>
      <c r="N180" s="5" t="b">
        <v>0</v>
      </c>
      <c r="O180" s="5" t="b">
        <v>0</v>
      </c>
      <c r="P180" s="5" t="b">
        <v>0</v>
      </c>
      <c r="Q180" s="5" t="b">
        <v>0</v>
      </c>
      <c r="R180" s="5" t="b">
        <v>0</v>
      </c>
      <c r="S180" s="5" t="b">
        <v>0</v>
      </c>
      <c r="T180" s="5" t="b">
        <v>0</v>
      </c>
      <c r="U180" s="5" t="b">
        <v>0</v>
      </c>
      <c r="V180" s="5" t="b">
        <v>0</v>
      </c>
      <c r="W180" s="5" t="b">
        <v>0</v>
      </c>
      <c r="X180" s="5">
        <v>1</v>
      </c>
      <c r="Y180" s="5">
        <v>1</v>
      </c>
      <c r="Z180" s="5" t="b">
        <v>0</v>
      </c>
      <c r="AA180" s="5">
        <v>2.0041145999999999</v>
      </c>
      <c r="AB180" s="5">
        <v>295.35627073130843</v>
      </c>
    </row>
    <row r="181" spans="2:179" x14ac:dyDescent="0.35">
      <c r="B181" s="5">
        <v>212</v>
      </c>
      <c r="C181" s="5">
        <v>249.30346968181055</v>
      </c>
      <c r="D181" s="5">
        <v>11.850847923993527</v>
      </c>
      <c r="E181" s="5">
        <v>8.2510253329499292</v>
      </c>
      <c r="F181" s="5">
        <v>137.74985282869056</v>
      </c>
      <c r="G181" s="5">
        <v>166.42379304798362</v>
      </c>
      <c r="H181" s="5">
        <v>12.384397199644836</v>
      </c>
      <c r="I181" s="5">
        <v>0.92380009447352673</v>
      </c>
      <c r="J181" s="5">
        <v>27.109169128067496</v>
      </c>
      <c r="K181" s="5">
        <v>64.489232254380383</v>
      </c>
      <c r="L181" s="5">
        <v>6.3748325845884413</v>
      </c>
      <c r="M181" s="5" t="b">
        <v>0</v>
      </c>
      <c r="N181" s="5" t="b">
        <v>0</v>
      </c>
      <c r="O181" s="5" t="b">
        <v>0</v>
      </c>
      <c r="P181" s="5" t="b">
        <v>0</v>
      </c>
      <c r="Q181" s="5" t="b">
        <v>0</v>
      </c>
      <c r="R181" s="5" t="b">
        <v>0</v>
      </c>
      <c r="S181" s="5" t="b">
        <v>0</v>
      </c>
      <c r="T181" s="5" t="b">
        <v>0</v>
      </c>
      <c r="U181" s="5" t="b">
        <v>0</v>
      </c>
      <c r="V181" s="5" t="b">
        <v>0</v>
      </c>
      <c r="W181" s="5" t="b">
        <v>0</v>
      </c>
      <c r="X181" s="5">
        <v>2</v>
      </c>
      <c r="Y181" s="5">
        <v>1</v>
      </c>
      <c r="Z181" s="5" t="b">
        <v>1</v>
      </c>
      <c r="AA181" s="5">
        <v>1.9716610000000001</v>
      </c>
      <c r="AB181" s="5">
        <v>296.62333368181055</v>
      </c>
    </row>
    <row r="182" spans="2:179" x14ac:dyDescent="0.35">
      <c r="B182" s="5">
        <v>154</v>
      </c>
      <c r="C182" s="5">
        <v>159.55068194563694</v>
      </c>
      <c r="D182" s="5">
        <v>12.170214936901392</v>
      </c>
      <c r="E182" s="5">
        <v>17.812319524143959</v>
      </c>
      <c r="F182" s="5">
        <v>137.31151402133727</v>
      </c>
      <c r="G182" s="5">
        <v>152.41294995253787</v>
      </c>
      <c r="H182" s="5">
        <v>17.004861453189186</v>
      </c>
      <c r="I182" s="5">
        <v>1.4115469561589338</v>
      </c>
      <c r="J182" s="5">
        <v>30.23233422510334</v>
      </c>
      <c r="K182" s="5">
        <v>85.990643588829627</v>
      </c>
      <c r="L182" s="5">
        <v>6.0416443955572108</v>
      </c>
      <c r="M182" s="5" t="b">
        <v>0</v>
      </c>
      <c r="N182" s="5" t="b">
        <v>0</v>
      </c>
      <c r="O182" s="5" t="b">
        <v>0</v>
      </c>
      <c r="P182" s="5" t="b">
        <v>0</v>
      </c>
      <c r="Q182" s="5" t="b">
        <v>0</v>
      </c>
      <c r="R182" s="5" t="b">
        <v>1</v>
      </c>
      <c r="S182" s="5" t="b">
        <v>0</v>
      </c>
      <c r="T182" s="5" t="b">
        <v>0</v>
      </c>
      <c r="U182" s="5" t="b">
        <v>0</v>
      </c>
      <c r="V182" s="5" t="b">
        <v>0</v>
      </c>
      <c r="W182" s="5" t="b">
        <v>0</v>
      </c>
      <c r="X182" s="5">
        <v>1</v>
      </c>
      <c r="Y182" s="5">
        <v>2</v>
      </c>
      <c r="Z182" s="5" t="b">
        <v>1</v>
      </c>
      <c r="AA182" s="5">
        <v>5.7825139999999999</v>
      </c>
      <c r="AB182" s="5">
        <v>298.33101794563697</v>
      </c>
    </row>
    <row r="183" spans="2:179" x14ac:dyDescent="0.35">
      <c r="B183" s="5">
        <v>184</v>
      </c>
      <c r="C183" s="5">
        <v>208.62196893361477</v>
      </c>
      <c r="D183" s="5">
        <v>11.849297990076362</v>
      </c>
      <c r="E183" s="5">
        <v>6.0848875573238859</v>
      </c>
      <c r="F183" s="5">
        <v>135.9896386905354</v>
      </c>
      <c r="G183" s="5">
        <v>164.25738161073957</v>
      </c>
      <c r="H183" s="5">
        <v>31.08544965131405</v>
      </c>
      <c r="I183" s="5">
        <v>1.1634148899758947</v>
      </c>
      <c r="J183" s="5">
        <v>31.615863780930521</v>
      </c>
      <c r="K183" s="5">
        <v>76.609912749639875</v>
      </c>
      <c r="L183" s="5">
        <v>6.6966029917868459</v>
      </c>
      <c r="M183" s="5" t="b">
        <v>0</v>
      </c>
      <c r="N183" s="5" t="b">
        <v>0</v>
      </c>
      <c r="O183" s="5" t="b">
        <v>0</v>
      </c>
      <c r="P183" s="5" t="b">
        <v>0</v>
      </c>
      <c r="Q183" s="5" t="b">
        <v>0</v>
      </c>
      <c r="R183" s="5" t="b">
        <v>0</v>
      </c>
      <c r="S183" s="5" t="b">
        <v>0</v>
      </c>
      <c r="T183" s="5" t="b">
        <v>0</v>
      </c>
      <c r="U183" s="5" t="b">
        <v>0</v>
      </c>
      <c r="V183" s="5" t="b">
        <v>0</v>
      </c>
      <c r="W183" s="5" t="b">
        <v>0</v>
      </c>
      <c r="X183" s="5">
        <v>2</v>
      </c>
      <c r="Y183" s="5">
        <v>2</v>
      </c>
      <c r="Z183" s="5" t="b">
        <v>0</v>
      </c>
      <c r="AA183" s="5">
        <v>3.7840816999999998</v>
      </c>
      <c r="AB183" s="5">
        <v>299.43992973361475</v>
      </c>
      <c r="FW183" t="s">
        <v>0</v>
      </c>
    </row>
    <row r="184" spans="2:179" x14ac:dyDescent="0.35">
      <c r="B184" s="5">
        <v>211</v>
      </c>
      <c r="C184" s="5">
        <v>247.81726118564552</v>
      </c>
      <c r="D184" s="5">
        <v>10.279167147275183</v>
      </c>
      <c r="E184" s="5">
        <v>15.632462375376443</v>
      </c>
      <c r="F184" s="5">
        <v>134.14058036852842</v>
      </c>
      <c r="G184" s="5">
        <v>124.23919393935803</v>
      </c>
      <c r="H184" s="5">
        <v>24.863426362959444</v>
      </c>
      <c r="I184" s="5">
        <v>0.93834337400370227</v>
      </c>
      <c r="J184" s="5">
        <v>29.228593614672562</v>
      </c>
      <c r="K184" s="5">
        <v>67.902796408248477</v>
      </c>
      <c r="L184" s="5">
        <v>6.9511319155212163</v>
      </c>
      <c r="M184" s="5" t="b">
        <v>0</v>
      </c>
      <c r="N184" s="5" t="b">
        <v>0</v>
      </c>
      <c r="O184" s="5" t="b">
        <v>0</v>
      </c>
      <c r="P184" s="5" t="b">
        <v>0</v>
      </c>
      <c r="Q184" s="5" t="b">
        <v>0</v>
      </c>
      <c r="R184" s="5" t="b">
        <v>0</v>
      </c>
      <c r="S184" s="5" t="b">
        <v>0</v>
      </c>
      <c r="T184" s="5" t="b">
        <v>0</v>
      </c>
      <c r="U184" s="5" t="b">
        <v>0</v>
      </c>
      <c r="V184" s="5" t="b">
        <v>0</v>
      </c>
      <c r="W184" s="5" t="b">
        <v>0</v>
      </c>
      <c r="X184" s="5">
        <v>1</v>
      </c>
      <c r="Y184" s="5">
        <v>1</v>
      </c>
      <c r="Z184" s="5" t="b">
        <v>1</v>
      </c>
      <c r="AA184" s="5">
        <v>2.3054809999999999</v>
      </c>
      <c r="AB184" s="5">
        <v>303.14880518564553</v>
      </c>
    </row>
    <row r="185" spans="2:179" x14ac:dyDescent="0.35">
      <c r="B185" s="5">
        <v>228</v>
      </c>
      <c r="C185" s="5">
        <v>263.27305197643534</v>
      </c>
      <c r="D185" s="5">
        <v>11.023234129601208</v>
      </c>
      <c r="E185" s="5">
        <v>15.889947853173849</v>
      </c>
      <c r="F185" s="5">
        <v>138.4555508736386</v>
      </c>
      <c r="G185" s="5">
        <v>124.50047943302378</v>
      </c>
      <c r="H185" s="5">
        <v>4.5763171051467655</v>
      </c>
      <c r="I185" s="5">
        <v>0.84934987684342589</v>
      </c>
      <c r="J185" s="5">
        <v>29.077708735081629</v>
      </c>
      <c r="K185" s="5">
        <v>76.626941891522407</v>
      </c>
      <c r="L185" s="5">
        <v>7.5447366803558422</v>
      </c>
      <c r="M185" s="5" t="b">
        <v>0</v>
      </c>
      <c r="N185" s="5" t="b">
        <v>0</v>
      </c>
      <c r="O185" s="5" t="b">
        <v>0</v>
      </c>
      <c r="P185" s="5" t="b">
        <v>0</v>
      </c>
      <c r="Q185" s="5" t="b">
        <v>0</v>
      </c>
      <c r="R185" s="5" t="b">
        <v>0</v>
      </c>
      <c r="S185" s="5" t="b">
        <v>0</v>
      </c>
      <c r="T185" s="5" t="b">
        <v>0</v>
      </c>
      <c r="U185" s="5" t="b">
        <v>0</v>
      </c>
      <c r="V185" s="5" t="b">
        <v>0</v>
      </c>
      <c r="W185" s="5" t="b">
        <v>0</v>
      </c>
      <c r="X185" s="5">
        <v>1</v>
      </c>
      <c r="Y185" s="5">
        <v>0</v>
      </c>
      <c r="Z185" s="5" t="b">
        <v>1</v>
      </c>
      <c r="AA185" s="5">
        <v>1.6933810999999999</v>
      </c>
      <c r="AB185" s="5">
        <v>303.91419837643537</v>
      </c>
    </row>
    <row r="186" spans="2:179" x14ac:dyDescent="0.35">
      <c r="B186" s="5">
        <v>237</v>
      </c>
      <c r="C186" s="5">
        <v>280.39653099146716</v>
      </c>
      <c r="D186" s="5">
        <v>11.424318274068739</v>
      </c>
      <c r="E186" s="5">
        <v>7.5704551432070897</v>
      </c>
      <c r="F186" s="5">
        <v>132.48040074116653</v>
      </c>
      <c r="G186" s="5">
        <v>138.70868248226768</v>
      </c>
      <c r="H186" s="5">
        <v>22.925148841600041</v>
      </c>
      <c r="I186" s="5">
        <v>0.88180779702509504</v>
      </c>
      <c r="J186" s="5">
        <v>30.27373343859459</v>
      </c>
      <c r="K186" s="5">
        <v>80.466335154991555</v>
      </c>
      <c r="L186" s="5">
        <v>6.3019881656191608</v>
      </c>
      <c r="M186" s="5" t="b">
        <v>0</v>
      </c>
      <c r="N186" s="5" t="b">
        <v>0</v>
      </c>
      <c r="O186" s="5" t="b">
        <v>0</v>
      </c>
      <c r="P186" s="5" t="b">
        <v>0</v>
      </c>
      <c r="Q186" s="5" t="b">
        <v>0</v>
      </c>
      <c r="R186" s="5" t="b">
        <v>0</v>
      </c>
      <c r="S186" s="5" t="b">
        <v>0</v>
      </c>
      <c r="T186" s="5" t="b">
        <v>0</v>
      </c>
      <c r="U186" s="5" t="b">
        <v>0</v>
      </c>
      <c r="V186" s="5" t="b">
        <v>0</v>
      </c>
      <c r="W186" s="5" t="b">
        <v>0</v>
      </c>
      <c r="X186" s="5">
        <v>0</v>
      </c>
      <c r="Y186" s="5">
        <v>0</v>
      </c>
      <c r="Z186" s="5" t="b">
        <v>0</v>
      </c>
      <c r="AA186" s="5">
        <v>1.0245879000000002</v>
      </c>
      <c r="AB186" s="5">
        <v>304.98664059146716</v>
      </c>
    </row>
    <row r="187" spans="2:179" x14ac:dyDescent="0.35">
      <c r="B187" s="5">
        <v>127</v>
      </c>
      <c r="C187" s="5">
        <v>124.92910382322856</v>
      </c>
      <c r="D187" s="5">
        <v>10.239855824420221</v>
      </c>
      <c r="E187" s="5">
        <v>17.225176619912723</v>
      </c>
      <c r="F187" s="5">
        <v>131.9405229907135</v>
      </c>
      <c r="G187" s="5">
        <v>110.56976488483461</v>
      </c>
      <c r="H187" s="5">
        <v>4.4313725610513579</v>
      </c>
      <c r="I187" s="5">
        <v>0.92469778870956953</v>
      </c>
      <c r="J187" s="5">
        <v>33.006964896856999</v>
      </c>
      <c r="K187" s="5">
        <v>103.43949754031944</v>
      </c>
      <c r="L187" s="5">
        <v>7.8077128689603228</v>
      </c>
      <c r="M187" s="5" t="b">
        <v>0</v>
      </c>
      <c r="N187" s="5" t="b">
        <v>0</v>
      </c>
      <c r="O187" s="5" t="b">
        <v>0</v>
      </c>
      <c r="P187" s="5" t="b">
        <v>0</v>
      </c>
      <c r="Q187" s="5" t="b">
        <v>0</v>
      </c>
      <c r="R187" s="5" t="b">
        <v>0</v>
      </c>
      <c r="S187" s="5" t="b">
        <v>0</v>
      </c>
      <c r="T187" s="5" t="b">
        <v>0</v>
      </c>
      <c r="U187" s="5" t="b">
        <v>0</v>
      </c>
      <c r="V187" s="5" t="b">
        <v>0</v>
      </c>
      <c r="W187" s="5" t="b">
        <v>0</v>
      </c>
      <c r="X187" s="5">
        <v>1</v>
      </c>
      <c r="Y187" s="5">
        <v>1</v>
      </c>
      <c r="Z187" s="5" t="b">
        <v>1</v>
      </c>
      <c r="AA187" s="5">
        <v>7.6191440000000004</v>
      </c>
      <c r="AB187" s="5">
        <v>307.78855982322852</v>
      </c>
    </row>
    <row r="188" spans="2:179" x14ac:dyDescent="0.35">
      <c r="B188" s="5">
        <v>207</v>
      </c>
      <c r="C188" s="5">
        <v>242.48997276391842</v>
      </c>
      <c r="D188" s="5">
        <v>9.2572449177497269</v>
      </c>
      <c r="E188" s="5">
        <v>13.206829140048374</v>
      </c>
      <c r="F188" s="5">
        <v>143.28642547278548</v>
      </c>
      <c r="G188" s="5">
        <v>164.69328201961724</v>
      </c>
      <c r="H188" s="5">
        <v>0.51196456432626292</v>
      </c>
      <c r="I188" s="5">
        <v>1.0676130586760502</v>
      </c>
      <c r="J188" s="5">
        <v>29.456731397408106</v>
      </c>
      <c r="K188" s="5">
        <v>76.344353797951555</v>
      </c>
      <c r="L188" s="5">
        <v>5.7147154034596008</v>
      </c>
      <c r="M188" s="5" t="b">
        <v>0</v>
      </c>
      <c r="N188" s="5" t="b">
        <v>0</v>
      </c>
      <c r="O188" s="5" t="b">
        <v>0</v>
      </c>
      <c r="P188" s="5" t="b">
        <v>0</v>
      </c>
      <c r="Q188" s="5" t="b">
        <v>0</v>
      </c>
      <c r="R188" s="5" t="b">
        <v>0</v>
      </c>
      <c r="S188" s="5" t="b">
        <v>0</v>
      </c>
      <c r="T188" s="5" t="b">
        <v>0</v>
      </c>
      <c r="U188" s="5" t="b">
        <v>0</v>
      </c>
      <c r="V188" s="5" t="b">
        <v>0</v>
      </c>
      <c r="W188" s="5" t="b">
        <v>0</v>
      </c>
      <c r="X188" s="5">
        <v>1</v>
      </c>
      <c r="Y188" s="5">
        <v>0</v>
      </c>
      <c r="Z188" s="5" t="b">
        <v>1</v>
      </c>
      <c r="AA188" s="5">
        <v>2.8731756000000002</v>
      </c>
      <c r="AB188" s="5">
        <v>311.44618716391841</v>
      </c>
    </row>
    <row r="189" spans="2:179" x14ac:dyDescent="0.35">
      <c r="B189" s="5">
        <v>160</v>
      </c>
      <c r="C189" s="5">
        <v>164.24714859087635</v>
      </c>
      <c r="D189" s="5">
        <v>9.4046535520282184</v>
      </c>
      <c r="E189" s="5">
        <v>12.626630950737475</v>
      </c>
      <c r="F189" s="5">
        <v>143.68118566762399</v>
      </c>
      <c r="G189" s="5">
        <v>153.68325348910398</v>
      </c>
      <c r="H189" s="5">
        <v>28.843532485864127</v>
      </c>
      <c r="I189" s="5">
        <v>1.0047823046115272</v>
      </c>
      <c r="J189" s="5">
        <v>26.459340864886812</v>
      </c>
      <c r="K189" s="5">
        <v>73.004154591225742</v>
      </c>
      <c r="L189" s="5">
        <v>6.7451363408718761</v>
      </c>
      <c r="M189" s="5" t="b">
        <v>0</v>
      </c>
      <c r="N189" s="5" t="b">
        <v>0</v>
      </c>
      <c r="O189" s="5" t="b">
        <v>1</v>
      </c>
      <c r="P189" s="5" t="b">
        <v>0</v>
      </c>
      <c r="Q189" s="5" t="b">
        <v>0</v>
      </c>
      <c r="R189" s="5" t="b">
        <v>0</v>
      </c>
      <c r="S189" s="5" t="b">
        <v>0</v>
      </c>
      <c r="T189" s="5" t="b">
        <v>0</v>
      </c>
      <c r="U189" s="5" t="b">
        <v>0</v>
      </c>
      <c r="V189" s="5" t="b">
        <v>0</v>
      </c>
      <c r="W189" s="5" t="b">
        <v>0</v>
      </c>
      <c r="X189" s="5">
        <v>1</v>
      </c>
      <c r="Y189" s="5">
        <v>1</v>
      </c>
      <c r="Z189" s="5" t="b">
        <v>0</v>
      </c>
      <c r="AA189" s="5">
        <v>6.1348950000000002</v>
      </c>
      <c r="AB189" s="5">
        <v>311.48462859087635</v>
      </c>
    </row>
    <row r="190" spans="2:179" x14ac:dyDescent="0.35">
      <c r="B190" s="5">
        <v>190</v>
      </c>
      <c r="C190" s="5">
        <v>212.90892796077205</v>
      </c>
      <c r="D190" s="5">
        <v>12.210660729330776</v>
      </c>
      <c r="E190" s="5">
        <v>27.859428264129754</v>
      </c>
      <c r="F190" s="5">
        <v>134.40532369729749</v>
      </c>
      <c r="G190" s="5">
        <v>189.18116830062957</v>
      </c>
      <c r="H190" s="5">
        <v>18.979775770194507</v>
      </c>
      <c r="I190" s="5">
        <v>1.0991597661633019</v>
      </c>
      <c r="J190" s="5">
        <v>31.171088982256759</v>
      </c>
      <c r="K190" s="5">
        <v>74.983568887849188</v>
      </c>
      <c r="L190" s="5">
        <v>6.8500738417155178</v>
      </c>
      <c r="M190" s="5" t="b">
        <v>0</v>
      </c>
      <c r="N190" s="5" t="b">
        <v>0</v>
      </c>
      <c r="O190" s="5" t="b">
        <v>1</v>
      </c>
      <c r="P190" s="5" t="b">
        <v>0</v>
      </c>
      <c r="Q190" s="5" t="b">
        <v>0</v>
      </c>
      <c r="R190" s="5" t="b">
        <v>0</v>
      </c>
      <c r="S190" s="5" t="b">
        <v>0</v>
      </c>
      <c r="T190" s="5" t="b">
        <v>0</v>
      </c>
      <c r="U190" s="5" t="b">
        <v>0</v>
      </c>
      <c r="V190" s="5" t="b">
        <v>0</v>
      </c>
      <c r="W190" s="5" t="b">
        <v>0</v>
      </c>
      <c r="X190" s="5">
        <v>1</v>
      </c>
      <c r="Y190" s="5">
        <v>0</v>
      </c>
      <c r="Z190" s="5" t="b">
        <v>0</v>
      </c>
      <c r="AA190" s="5">
        <v>4.1698336999999999</v>
      </c>
      <c r="AB190" s="5">
        <v>312.98493676077203</v>
      </c>
    </row>
    <row r="191" spans="2:179" x14ac:dyDescent="0.35">
      <c r="B191" s="5">
        <v>156</v>
      </c>
      <c r="C191" s="5">
        <v>161.03192978613805</v>
      </c>
      <c r="D191" s="5">
        <v>13.887977797232622</v>
      </c>
      <c r="E191" s="5">
        <v>12.353251203402882</v>
      </c>
      <c r="F191" s="5">
        <v>140.40367103709011</v>
      </c>
      <c r="G191" s="5">
        <v>177.39007439369152</v>
      </c>
      <c r="H191" s="5">
        <v>43.4433849332381</v>
      </c>
      <c r="I191" s="5">
        <v>1.4497350687970401</v>
      </c>
      <c r="J191" s="5">
        <v>26.867681881348176</v>
      </c>
      <c r="K191" s="5">
        <v>61.581447414428673</v>
      </c>
      <c r="L191" s="5">
        <v>6.7912645596572103</v>
      </c>
      <c r="M191" s="5" t="b">
        <v>0</v>
      </c>
      <c r="N191" s="5" t="b">
        <v>0</v>
      </c>
      <c r="O191" s="5" t="b">
        <v>1</v>
      </c>
      <c r="P191" s="5" t="b">
        <v>0</v>
      </c>
      <c r="Q191" s="5" t="b">
        <v>0</v>
      </c>
      <c r="R191" s="5" t="b">
        <v>1</v>
      </c>
      <c r="S191" s="5" t="b">
        <v>0</v>
      </c>
      <c r="T191" s="5" t="b">
        <v>0</v>
      </c>
      <c r="U191" s="5" t="b">
        <v>0</v>
      </c>
      <c r="V191" s="5" t="b">
        <v>0</v>
      </c>
      <c r="W191" s="5" t="b">
        <v>0</v>
      </c>
      <c r="X191" s="5">
        <v>2</v>
      </c>
      <c r="Y191" s="5">
        <v>0</v>
      </c>
      <c r="Z191" s="5" t="b">
        <v>0</v>
      </c>
      <c r="AA191" s="5">
        <v>6.372439</v>
      </c>
      <c r="AB191" s="5">
        <v>313.97046578613805</v>
      </c>
    </row>
    <row r="192" spans="2:179" x14ac:dyDescent="0.35">
      <c r="B192" s="5">
        <v>219</v>
      </c>
      <c r="C192" s="5">
        <v>256.42594977395214</v>
      </c>
      <c r="D192" s="5">
        <v>13.05875243156297</v>
      </c>
      <c r="E192" s="5">
        <v>3.4170356404564002</v>
      </c>
      <c r="F192" s="5">
        <v>132.22926444024282</v>
      </c>
      <c r="G192" s="5">
        <v>106.37941601024642</v>
      </c>
      <c r="H192" s="5">
        <v>14.750661970011098</v>
      </c>
      <c r="I192" s="5">
        <v>0.8194818329074216</v>
      </c>
      <c r="J192" s="5">
        <v>27.927972409032709</v>
      </c>
      <c r="K192" s="5">
        <v>69.539630494816805</v>
      </c>
      <c r="L192" s="5">
        <v>6.9054291221856285</v>
      </c>
      <c r="M192" s="5" t="b">
        <v>0</v>
      </c>
      <c r="N192" s="5" t="b">
        <v>0</v>
      </c>
      <c r="O192" s="5" t="b">
        <v>0</v>
      </c>
      <c r="P192" s="5" t="b">
        <v>0</v>
      </c>
      <c r="Q192" s="5" t="b">
        <v>0</v>
      </c>
      <c r="R192" s="5" t="b">
        <v>0</v>
      </c>
      <c r="S192" s="5" t="b">
        <v>0</v>
      </c>
      <c r="T192" s="5" t="b">
        <v>0</v>
      </c>
      <c r="U192" s="5" t="b">
        <v>0</v>
      </c>
      <c r="V192" s="5" t="b">
        <v>0</v>
      </c>
      <c r="W192" s="5" t="b">
        <v>0</v>
      </c>
      <c r="X192" s="5">
        <v>1</v>
      </c>
      <c r="Y192" s="5">
        <v>0</v>
      </c>
      <c r="Z192" s="5" t="b">
        <v>0</v>
      </c>
      <c r="AA192" s="5">
        <v>2.4394965000000002</v>
      </c>
      <c r="AB192" s="5">
        <v>314.97386577395213</v>
      </c>
    </row>
    <row r="193" spans="2:28" x14ac:dyDescent="0.35">
      <c r="B193" s="5">
        <v>183</v>
      </c>
      <c r="C193" s="5">
        <v>206.54495661230163</v>
      </c>
      <c r="D193" s="5">
        <v>13.432855598480028</v>
      </c>
      <c r="E193" s="5">
        <v>16.573177798133372</v>
      </c>
      <c r="F193" s="5">
        <v>135.71516738955299</v>
      </c>
      <c r="G193" s="5">
        <v>142.18741324283775</v>
      </c>
      <c r="H193" s="5">
        <v>16.444454568256717</v>
      </c>
      <c r="I193" s="5">
        <v>1.2130831057062506</v>
      </c>
      <c r="J193" s="5">
        <v>23.283440766439497</v>
      </c>
      <c r="K193" s="5">
        <v>68.783443393162145</v>
      </c>
      <c r="L193" s="5">
        <v>6.8937594143615364</v>
      </c>
      <c r="M193" s="5" t="b">
        <v>0</v>
      </c>
      <c r="N193" s="5" t="b">
        <v>0</v>
      </c>
      <c r="O193" s="5" t="b">
        <v>0</v>
      </c>
      <c r="P193" s="5" t="b">
        <v>0</v>
      </c>
      <c r="Q193" s="5" t="b">
        <v>1</v>
      </c>
      <c r="R193" s="5" t="b">
        <v>0</v>
      </c>
      <c r="S193" s="5" t="b">
        <v>0</v>
      </c>
      <c r="T193" s="5" t="b">
        <v>0</v>
      </c>
      <c r="U193" s="5" t="b">
        <v>0</v>
      </c>
      <c r="V193" s="5" t="b">
        <v>0</v>
      </c>
      <c r="W193" s="5" t="b">
        <v>0</v>
      </c>
      <c r="X193" s="5">
        <v>2</v>
      </c>
      <c r="Y193" s="5">
        <v>1</v>
      </c>
      <c r="Z193" s="5" t="b">
        <v>0</v>
      </c>
      <c r="AA193" s="5">
        <v>4.5747885999999998</v>
      </c>
      <c r="AB193" s="5">
        <v>316.33988301230164</v>
      </c>
    </row>
    <row r="194" spans="2:28" x14ac:dyDescent="0.35">
      <c r="B194" s="5">
        <v>199</v>
      </c>
      <c r="C194" s="5">
        <v>227.33508930483845</v>
      </c>
      <c r="D194" s="5">
        <v>11.961973271823222</v>
      </c>
      <c r="E194" s="5">
        <v>12.152236788610834</v>
      </c>
      <c r="F194" s="5">
        <v>137.43887242169072</v>
      </c>
      <c r="G194" s="5">
        <v>136.0697672677567</v>
      </c>
      <c r="H194" s="5">
        <v>24.565678790351775</v>
      </c>
      <c r="I194" s="5">
        <v>1.4138501971567825</v>
      </c>
      <c r="J194" s="5">
        <v>30.298966032213432</v>
      </c>
      <c r="K194" s="5">
        <v>55.45291968584025</v>
      </c>
      <c r="L194" s="5">
        <v>6.9128526237238654</v>
      </c>
      <c r="M194" s="5" t="b">
        <v>0</v>
      </c>
      <c r="N194" s="5" t="b">
        <v>0</v>
      </c>
      <c r="O194" s="5" t="b">
        <v>0</v>
      </c>
      <c r="P194" s="5" t="b">
        <v>0</v>
      </c>
      <c r="Q194" s="5" t="b">
        <v>0</v>
      </c>
      <c r="R194" s="5" t="b">
        <v>1</v>
      </c>
      <c r="S194" s="5" t="b">
        <v>0</v>
      </c>
      <c r="T194" s="5" t="b">
        <v>0</v>
      </c>
      <c r="U194" s="5" t="b">
        <v>0</v>
      </c>
      <c r="V194" s="5" t="b">
        <v>0</v>
      </c>
      <c r="W194" s="5" t="b">
        <v>0</v>
      </c>
      <c r="X194" s="5">
        <v>2</v>
      </c>
      <c r="Y194" s="5">
        <v>0</v>
      </c>
      <c r="Z194" s="5" t="b">
        <v>1</v>
      </c>
      <c r="AA194" s="5">
        <v>3.8167276000000001</v>
      </c>
      <c r="AB194" s="5">
        <v>318.93655170483845</v>
      </c>
    </row>
    <row r="195" spans="2:28" x14ac:dyDescent="0.35">
      <c r="B195" s="5">
        <v>157</v>
      </c>
      <c r="C195" s="5">
        <v>163.04568172793986</v>
      </c>
      <c r="D195" s="5">
        <v>10.669376726349206</v>
      </c>
      <c r="E195" s="5">
        <v>18.054737503452337</v>
      </c>
      <c r="F195" s="5">
        <v>141.23197395391159</v>
      </c>
      <c r="G195" s="5">
        <v>197.38806201529309</v>
      </c>
      <c r="H195" s="5">
        <v>34.113772045961603</v>
      </c>
      <c r="I195" s="5">
        <v>1.123109648248066</v>
      </c>
      <c r="J195" s="5">
        <v>30.393706188384083</v>
      </c>
      <c r="K195" s="5">
        <v>55.230758685068004</v>
      </c>
      <c r="L195" s="5">
        <v>6.4974280221101512</v>
      </c>
      <c r="M195" s="5" t="b">
        <v>0</v>
      </c>
      <c r="N195" s="5" t="b">
        <v>0</v>
      </c>
      <c r="O195" s="5" t="b">
        <v>0</v>
      </c>
      <c r="P195" s="5" t="b">
        <v>0</v>
      </c>
      <c r="Q195" s="5" t="b">
        <v>0</v>
      </c>
      <c r="R195" s="5" t="b">
        <v>1</v>
      </c>
      <c r="S195" s="5" t="b">
        <v>0</v>
      </c>
      <c r="T195" s="5" t="b">
        <v>0</v>
      </c>
      <c r="U195" s="5" t="b">
        <v>0</v>
      </c>
      <c r="V195" s="5" t="b">
        <v>0</v>
      </c>
      <c r="W195" s="5" t="b">
        <v>0</v>
      </c>
      <c r="X195" s="5">
        <v>2</v>
      </c>
      <c r="Y195" s="5">
        <v>0</v>
      </c>
      <c r="Z195" s="5" t="b">
        <v>0</v>
      </c>
      <c r="AA195" s="5">
        <v>6.5185740000000001</v>
      </c>
      <c r="AB195" s="5">
        <v>319.49145772793986</v>
      </c>
    </row>
    <row r="196" spans="2:28" x14ac:dyDescent="0.35">
      <c r="B196" s="5">
        <v>149</v>
      </c>
      <c r="C196" s="5">
        <v>154.54200228967392</v>
      </c>
      <c r="D196" s="5">
        <v>12.22900389291571</v>
      </c>
      <c r="E196" s="5">
        <v>13.159598736745046</v>
      </c>
      <c r="F196" s="5">
        <v>138.69809186298369</v>
      </c>
      <c r="G196" s="5">
        <v>142.57760306586573</v>
      </c>
      <c r="H196" s="5">
        <v>2.529790307632739</v>
      </c>
      <c r="I196" s="5">
        <v>1.1330186118403354</v>
      </c>
      <c r="J196" s="5">
        <v>29.591225944149734</v>
      </c>
      <c r="K196" s="5">
        <v>73.030915196898675</v>
      </c>
      <c r="L196" s="5">
        <v>6.8643263347941712</v>
      </c>
      <c r="M196" s="5" t="b">
        <v>0</v>
      </c>
      <c r="N196" s="5" t="b">
        <v>0</v>
      </c>
      <c r="O196" s="5" t="b">
        <v>0</v>
      </c>
      <c r="P196" s="5" t="b">
        <v>0</v>
      </c>
      <c r="Q196" s="5" t="b">
        <v>0</v>
      </c>
      <c r="R196" s="5" t="b">
        <v>0</v>
      </c>
      <c r="S196" s="5" t="b">
        <v>0</v>
      </c>
      <c r="T196" s="5" t="b">
        <v>1</v>
      </c>
      <c r="U196" s="5" t="b">
        <v>0</v>
      </c>
      <c r="V196" s="5" t="b">
        <v>0</v>
      </c>
      <c r="W196" s="5" t="b">
        <v>0</v>
      </c>
      <c r="X196" s="5">
        <v>2</v>
      </c>
      <c r="Y196" s="5">
        <v>4</v>
      </c>
      <c r="Z196" s="5" t="b">
        <v>0</v>
      </c>
      <c r="AA196" s="5">
        <v>6.9219774999999997</v>
      </c>
      <c r="AB196" s="5">
        <v>320.6694622896739</v>
      </c>
    </row>
    <row r="197" spans="2:28" x14ac:dyDescent="0.35">
      <c r="B197" s="5">
        <v>232</v>
      </c>
      <c r="C197" s="5">
        <v>267.95940600080405</v>
      </c>
      <c r="D197" s="5">
        <v>12.552179853780887</v>
      </c>
      <c r="E197" s="5">
        <v>6.485471229232628</v>
      </c>
      <c r="F197" s="5">
        <v>137.61290565443056</v>
      </c>
      <c r="G197" s="5">
        <v>97.967440062807299</v>
      </c>
      <c r="H197" s="5">
        <v>0.81824847306967641</v>
      </c>
      <c r="I197" s="5">
        <v>1.3283096738876752</v>
      </c>
      <c r="J197" s="5">
        <v>33.397856651431113</v>
      </c>
      <c r="K197" s="5">
        <v>57.283281437305789</v>
      </c>
      <c r="L197" s="5">
        <v>6.0085820970291968</v>
      </c>
      <c r="M197" s="5" t="b">
        <v>0</v>
      </c>
      <c r="N197" s="5" t="b">
        <v>0</v>
      </c>
      <c r="O197" s="5" t="b">
        <v>0</v>
      </c>
      <c r="P197" s="5" t="b">
        <v>0</v>
      </c>
      <c r="Q197" s="5" t="b">
        <v>0</v>
      </c>
      <c r="R197" s="5" t="b">
        <v>0</v>
      </c>
      <c r="S197" s="5" t="b">
        <v>0</v>
      </c>
      <c r="T197" s="5" t="b">
        <v>0</v>
      </c>
      <c r="U197" s="5" t="b">
        <v>0</v>
      </c>
      <c r="V197" s="5" t="b">
        <v>0</v>
      </c>
      <c r="W197" s="5" t="b">
        <v>0</v>
      </c>
      <c r="X197" s="5">
        <v>2</v>
      </c>
      <c r="Y197" s="5">
        <v>0</v>
      </c>
      <c r="Z197" s="5" t="b">
        <v>0</v>
      </c>
      <c r="AA197" s="5">
        <v>2.2163887</v>
      </c>
      <c r="AB197" s="5">
        <v>321.15273480080407</v>
      </c>
    </row>
    <row r="198" spans="2:28" x14ac:dyDescent="0.35">
      <c r="B198" s="5">
        <v>188</v>
      </c>
      <c r="C198" s="5">
        <v>211.30659414010435</v>
      </c>
      <c r="D198" s="5">
        <v>13.368027703344087</v>
      </c>
      <c r="E198" s="5">
        <v>12.764813936064213</v>
      </c>
      <c r="F198" s="5">
        <v>137.30942518075031</v>
      </c>
      <c r="G198" s="5">
        <v>69.38042546750512</v>
      </c>
      <c r="H198" s="5">
        <v>14.803248095456713</v>
      </c>
      <c r="I198" s="5">
        <v>0.92330232673841772</v>
      </c>
      <c r="J198" s="5">
        <v>25.000863520185586</v>
      </c>
      <c r="K198" s="5">
        <v>88.132826805616517</v>
      </c>
      <c r="L198" s="5">
        <v>5.401052516632844</v>
      </c>
      <c r="M198" s="5" t="b">
        <v>0</v>
      </c>
      <c r="N198" s="5" t="b">
        <v>0</v>
      </c>
      <c r="O198" s="5" t="b">
        <v>0</v>
      </c>
      <c r="P198" s="5" t="b">
        <v>0</v>
      </c>
      <c r="Q198" s="5" t="b">
        <v>0</v>
      </c>
      <c r="R198" s="5" t="b">
        <v>1</v>
      </c>
      <c r="S198" s="5" t="b">
        <v>0</v>
      </c>
      <c r="T198" s="5" t="b">
        <v>0</v>
      </c>
      <c r="U198" s="5" t="b">
        <v>0</v>
      </c>
      <c r="V198" s="5" t="b">
        <v>0</v>
      </c>
      <c r="W198" s="5" t="b">
        <v>0</v>
      </c>
      <c r="X198" s="5">
        <v>1</v>
      </c>
      <c r="Y198" s="5">
        <v>0</v>
      </c>
      <c r="Z198" s="5" t="b">
        <v>1</v>
      </c>
      <c r="AA198" s="5">
        <v>4.5856979999999998</v>
      </c>
      <c r="AB198" s="5">
        <v>321.36334614010434</v>
      </c>
    </row>
    <row r="199" spans="2:28" x14ac:dyDescent="0.35">
      <c r="B199" s="5">
        <v>245</v>
      </c>
      <c r="C199" s="5">
        <v>286.83746225922539</v>
      </c>
      <c r="D199" s="5">
        <v>10.689604731238866</v>
      </c>
      <c r="E199" s="5">
        <v>1.1500569579099551</v>
      </c>
      <c r="F199" s="5">
        <v>136.35069818568448</v>
      </c>
      <c r="G199" s="5">
        <v>151.81377638983213</v>
      </c>
      <c r="H199" s="5">
        <v>16.953503611064246</v>
      </c>
      <c r="I199" s="5">
        <v>0.96091180987059133</v>
      </c>
      <c r="J199" s="5">
        <v>30.131360426522154</v>
      </c>
      <c r="K199" s="5">
        <v>69.015999171846147</v>
      </c>
      <c r="L199" s="5">
        <v>7.6090888151487288</v>
      </c>
      <c r="M199" s="5" t="b">
        <v>0</v>
      </c>
      <c r="N199" s="5" t="b">
        <v>0</v>
      </c>
      <c r="O199" s="5" t="b">
        <v>0</v>
      </c>
      <c r="P199" s="5" t="b">
        <v>0</v>
      </c>
      <c r="Q199" s="5" t="b">
        <v>0</v>
      </c>
      <c r="R199" s="5" t="b">
        <v>0</v>
      </c>
      <c r="S199" s="5" t="b">
        <v>0</v>
      </c>
      <c r="T199" s="5" t="b">
        <v>0</v>
      </c>
      <c r="U199" s="5" t="b">
        <v>0</v>
      </c>
      <c r="V199" s="5" t="b">
        <v>0</v>
      </c>
      <c r="W199" s="5" t="b">
        <v>0</v>
      </c>
      <c r="X199" s="5">
        <v>3</v>
      </c>
      <c r="Y199" s="5">
        <v>0</v>
      </c>
      <c r="Z199" s="5" t="b">
        <v>1</v>
      </c>
      <c r="AA199" s="5">
        <v>1.5441120000000002</v>
      </c>
      <c r="AB199" s="5">
        <v>323.89615025922541</v>
      </c>
    </row>
    <row r="200" spans="2:28" x14ac:dyDescent="0.35">
      <c r="B200" s="5">
        <v>186</v>
      </c>
      <c r="C200" s="5">
        <v>209.90238930474638</v>
      </c>
      <c r="D200" s="5">
        <v>11.107727795838281</v>
      </c>
      <c r="E200" s="5">
        <v>10.742106641284199</v>
      </c>
      <c r="F200" s="5">
        <v>141.72865132696919</v>
      </c>
      <c r="G200" s="5">
        <v>149.02460951716475</v>
      </c>
      <c r="H200" s="5">
        <v>36.203372437551089</v>
      </c>
      <c r="I200" s="5">
        <v>1.0184462118671167</v>
      </c>
      <c r="J200" s="5">
        <v>28.086626719958964</v>
      </c>
      <c r="K200" s="5">
        <v>51.460827537494026</v>
      </c>
      <c r="L200" s="5">
        <v>7.3770013545390416</v>
      </c>
      <c r="M200" s="5" t="b">
        <v>0</v>
      </c>
      <c r="N200" s="5" t="b">
        <v>0</v>
      </c>
      <c r="O200" s="5" t="b">
        <v>0</v>
      </c>
      <c r="P200" s="5" t="b">
        <v>0</v>
      </c>
      <c r="Q200" s="5" t="b">
        <v>0</v>
      </c>
      <c r="R200" s="5" t="b">
        <v>0</v>
      </c>
      <c r="S200" s="5" t="b">
        <v>0</v>
      </c>
      <c r="T200" s="5" t="b">
        <v>0</v>
      </c>
      <c r="U200" s="5" t="b">
        <v>0</v>
      </c>
      <c r="V200" s="5" t="b">
        <v>0</v>
      </c>
      <c r="W200" s="5" t="b">
        <v>0</v>
      </c>
      <c r="X200" s="5">
        <v>2</v>
      </c>
      <c r="Y200" s="5">
        <v>1</v>
      </c>
      <c r="Z200" s="5" t="b">
        <v>0</v>
      </c>
      <c r="AA200" s="5">
        <v>4.8490510000000002</v>
      </c>
      <c r="AB200" s="5">
        <v>326.27961330474636</v>
      </c>
    </row>
    <row r="201" spans="2:28" x14ac:dyDescent="0.35">
      <c r="B201" s="5">
        <v>146</v>
      </c>
      <c r="C201" s="5">
        <v>148.65245899475877</v>
      </c>
      <c r="D201" s="5">
        <v>9.8272676552165041</v>
      </c>
      <c r="E201" s="5">
        <v>7.9563676222609674</v>
      </c>
      <c r="F201" s="5">
        <v>132.16938738164353</v>
      </c>
      <c r="G201" s="5">
        <v>207.94442208898801</v>
      </c>
      <c r="H201" s="5">
        <v>12.949134837157203</v>
      </c>
      <c r="I201" s="5">
        <v>1.0625648447811797</v>
      </c>
      <c r="J201" s="5">
        <v>29.923355076603649</v>
      </c>
      <c r="K201" s="5">
        <v>50.093702066241491</v>
      </c>
      <c r="L201" s="5">
        <v>6.2927890420174437</v>
      </c>
      <c r="M201" s="5" t="b">
        <v>0</v>
      </c>
      <c r="N201" s="5" t="b">
        <v>1</v>
      </c>
      <c r="O201" s="5" t="b">
        <v>0</v>
      </c>
      <c r="P201" s="5" t="b">
        <v>0</v>
      </c>
      <c r="Q201" s="5" t="b">
        <v>0</v>
      </c>
      <c r="R201" s="5" t="b">
        <v>0</v>
      </c>
      <c r="S201" s="5" t="b">
        <v>0</v>
      </c>
      <c r="T201" s="5" t="b">
        <v>0</v>
      </c>
      <c r="U201" s="5" t="b">
        <v>0</v>
      </c>
      <c r="V201" s="5" t="b">
        <v>0</v>
      </c>
      <c r="W201" s="5" t="b">
        <v>0</v>
      </c>
      <c r="X201" s="5">
        <v>3</v>
      </c>
      <c r="Y201" s="5">
        <v>2</v>
      </c>
      <c r="Z201" s="5" t="b">
        <v>1</v>
      </c>
      <c r="AA201" s="5">
        <v>7.6425079999999994</v>
      </c>
      <c r="AB201" s="5">
        <v>332.07265099475876</v>
      </c>
    </row>
    <row r="202" spans="2:28" x14ac:dyDescent="0.35">
      <c r="B202" s="5">
        <v>167</v>
      </c>
      <c r="C202" s="5">
        <v>172.75676038904155</v>
      </c>
      <c r="D202" s="5">
        <v>12.708058488231357</v>
      </c>
      <c r="E202" s="5">
        <v>13.223142562780255</v>
      </c>
      <c r="F202" s="5">
        <v>136.65447429002703</v>
      </c>
      <c r="G202" s="5">
        <v>124.67075585834844</v>
      </c>
      <c r="H202" s="5">
        <v>23.516645131211074</v>
      </c>
      <c r="I202" s="5">
        <v>1.4503287939336298</v>
      </c>
      <c r="J202" s="5">
        <v>33.069398302039446</v>
      </c>
      <c r="K202" s="5">
        <v>80.35229383149813</v>
      </c>
      <c r="L202" s="5">
        <v>6.5534986306769847</v>
      </c>
      <c r="M202" s="5" t="b">
        <v>0</v>
      </c>
      <c r="N202" s="5" t="b">
        <v>0</v>
      </c>
      <c r="O202" s="5" t="b">
        <v>0</v>
      </c>
      <c r="P202" s="5" t="b">
        <v>0</v>
      </c>
      <c r="Q202" s="5" t="b">
        <v>0</v>
      </c>
      <c r="R202" s="5" t="b">
        <v>1</v>
      </c>
      <c r="S202" s="5" t="b">
        <v>0</v>
      </c>
      <c r="T202" s="5" t="b">
        <v>0</v>
      </c>
      <c r="U202" s="5" t="b">
        <v>0</v>
      </c>
      <c r="V202" s="5" t="b">
        <v>0</v>
      </c>
      <c r="W202" s="5" t="b">
        <v>0</v>
      </c>
      <c r="X202" s="5">
        <v>1</v>
      </c>
      <c r="Y202" s="5">
        <v>3</v>
      </c>
      <c r="Z202" s="5" t="b">
        <v>1</v>
      </c>
      <c r="AA202" s="5">
        <v>6.6876483000000002</v>
      </c>
      <c r="AB202" s="5">
        <v>333.26031958904156</v>
      </c>
    </row>
    <row r="203" spans="2:28" x14ac:dyDescent="0.35">
      <c r="B203" s="5">
        <v>130</v>
      </c>
      <c r="C203" s="5">
        <v>129.02908231744757</v>
      </c>
      <c r="D203" s="5">
        <v>8.6489632235264491</v>
      </c>
      <c r="E203" s="5">
        <v>17.743629738539752</v>
      </c>
      <c r="F203" s="5">
        <v>142.20565689009837</v>
      </c>
      <c r="G203" s="5">
        <v>88.122690032730262</v>
      </c>
      <c r="H203" s="5">
        <v>8.4773515954299157</v>
      </c>
      <c r="I203" s="5">
        <v>1.0150477977301737</v>
      </c>
      <c r="J203" s="5">
        <v>32.399797656469218</v>
      </c>
      <c r="K203" s="5">
        <v>56.423569857368804</v>
      </c>
      <c r="L203" s="5">
        <v>6.0699880211084434</v>
      </c>
      <c r="M203" s="5" t="b">
        <v>0</v>
      </c>
      <c r="N203" s="5" t="b">
        <v>0</v>
      </c>
      <c r="O203" s="5" t="b">
        <v>0</v>
      </c>
      <c r="P203" s="5" t="b">
        <v>0</v>
      </c>
      <c r="Q203" s="5" t="b">
        <v>0</v>
      </c>
      <c r="R203" s="5" t="b">
        <v>0</v>
      </c>
      <c r="S203" s="5" t="b">
        <v>0</v>
      </c>
      <c r="T203" s="5" t="b">
        <v>0</v>
      </c>
      <c r="U203" s="5" t="b">
        <v>0</v>
      </c>
      <c r="V203" s="5" t="b">
        <v>0</v>
      </c>
      <c r="W203" s="5" t="b">
        <v>0</v>
      </c>
      <c r="X203" s="5">
        <v>1</v>
      </c>
      <c r="Y203" s="5">
        <v>2</v>
      </c>
      <c r="Z203" s="5" t="b">
        <v>1</v>
      </c>
      <c r="AA203" s="5">
        <v>8.6012260000000005</v>
      </c>
      <c r="AB203" s="5">
        <v>335.45850631744759</v>
      </c>
    </row>
    <row r="204" spans="2:28" x14ac:dyDescent="0.35">
      <c r="B204" s="5">
        <v>258</v>
      </c>
      <c r="C204" s="5">
        <v>311.44618716391841</v>
      </c>
      <c r="D204" s="5">
        <v>11.246295505690822</v>
      </c>
      <c r="E204" s="5">
        <v>12.337808689608604</v>
      </c>
      <c r="F204" s="5">
        <v>141.03568764268371</v>
      </c>
      <c r="G204" s="5">
        <v>181.6041094277704</v>
      </c>
      <c r="H204" s="5">
        <v>20.44483867342494</v>
      </c>
      <c r="I204" s="5">
        <v>1.2399513985141977</v>
      </c>
      <c r="J204" s="5">
        <v>28.123111641672217</v>
      </c>
      <c r="K204" s="5">
        <v>86.117000426882427</v>
      </c>
      <c r="L204" s="5">
        <v>6.4978038648862988</v>
      </c>
      <c r="M204" s="5" t="b">
        <v>0</v>
      </c>
      <c r="N204" s="5" t="b">
        <v>0</v>
      </c>
      <c r="O204" s="5" t="b">
        <v>0</v>
      </c>
      <c r="P204" s="5" t="b">
        <v>0</v>
      </c>
      <c r="Q204" s="5" t="b">
        <v>0</v>
      </c>
      <c r="R204" s="5" t="b">
        <v>0</v>
      </c>
      <c r="S204" s="5" t="b">
        <v>0</v>
      </c>
      <c r="T204" s="5" t="b">
        <v>0</v>
      </c>
      <c r="U204" s="5" t="b">
        <v>0</v>
      </c>
      <c r="V204" s="5" t="b">
        <v>0</v>
      </c>
      <c r="W204" s="5" t="b">
        <v>0</v>
      </c>
      <c r="X204" s="5">
        <v>1</v>
      </c>
      <c r="Y204" s="5">
        <v>0</v>
      </c>
      <c r="Z204" s="5" t="b">
        <v>1</v>
      </c>
      <c r="AA204" s="5">
        <v>1.0053650000000003</v>
      </c>
      <c r="AB204" s="5">
        <v>335.57494716391841</v>
      </c>
    </row>
    <row r="205" spans="2:28" x14ac:dyDescent="0.35">
      <c r="B205" s="5">
        <v>195</v>
      </c>
      <c r="C205" s="5">
        <v>222.88509052786961</v>
      </c>
      <c r="D205" s="5">
        <v>14.828061652866822</v>
      </c>
      <c r="E205" s="5">
        <v>9.2607346814743572</v>
      </c>
      <c r="F205" s="5">
        <v>142.85417625783566</v>
      </c>
      <c r="G205" s="5">
        <v>136.2555692035962</v>
      </c>
      <c r="H205" s="5">
        <v>19.201649079261045</v>
      </c>
      <c r="I205" s="5">
        <v>0.79631193919014853</v>
      </c>
      <c r="J205" s="5">
        <v>30.974773080684994</v>
      </c>
      <c r="K205" s="5">
        <v>64.780342513481344</v>
      </c>
      <c r="L205" s="5">
        <v>6.8616584689605213</v>
      </c>
      <c r="M205" s="5" t="b">
        <v>0</v>
      </c>
      <c r="N205" s="5" t="b">
        <v>0</v>
      </c>
      <c r="O205" s="5" t="b">
        <v>1</v>
      </c>
      <c r="P205" s="5" t="b">
        <v>0</v>
      </c>
      <c r="Q205" s="5" t="b">
        <v>0</v>
      </c>
      <c r="R205" s="5" t="b">
        <v>1</v>
      </c>
      <c r="S205" s="5" t="b">
        <v>0</v>
      </c>
      <c r="T205" s="5" t="b">
        <v>0</v>
      </c>
      <c r="U205" s="5" t="b">
        <v>0</v>
      </c>
      <c r="V205" s="5" t="b">
        <v>0</v>
      </c>
      <c r="W205" s="5" t="b">
        <v>0</v>
      </c>
      <c r="X205" s="5">
        <v>1</v>
      </c>
      <c r="Y205" s="5">
        <v>0</v>
      </c>
      <c r="Z205" s="5" t="b">
        <v>0</v>
      </c>
      <c r="AA205" s="5">
        <v>4.7643399999999998</v>
      </c>
      <c r="AB205" s="5">
        <v>337.22925052786957</v>
      </c>
    </row>
    <row r="206" spans="2:28" x14ac:dyDescent="0.35">
      <c r="B206" s="5">
        <v>235</v>
      </c>
      <c r="C206" s="5">
        <v>275.85534274598297</v>
      </c>
      <c r="D206" s="5">
        <v>10.236772094867895</v>
      </c>
      <c r="E206" s="5">
        <v>5.0770814643150119</v>
      </c>
      <c r="F206" s="5">
        <v>135.99911453305441</v>
      </c>
      <c r="G206" s="5">
        <v>130.6128336459775</v>
      </c>
      <c r="H206" s="5">
        <v>23.359988619172338</v>
      </c>
      <c r="I206" s="5">
        <v>0.93280426516707782</v>
      </c>
      <c r="J206" s="5">
        <v>28.299156443974702</v>
      </c>
      <c r="K206" s="5">
        <v>114.01552248550408</v>
      </c>
      <c r="L206" s="5">
        <v>6.4988057695719617</v>
      </c>
      <c r="M206" s="5" t="b">
        <v>0</v>
      </c>
      <c r="N206" s="5" t="b">
        <v>0</v>
      </c>
      <c r="O206" s="5" t="b">
        <v>0</v>
      </c>
      <c r="P206" s="5" t="b">
        <v>0</v>
      </c>
      <c r="Q206" s="5" t="b">
        <v>0</v>
      </c>
      <c r="R206" s="5" t="b">
        <v>0</v>
      </c>
      <c r="S206" s="5" t="b">
        <v>0</v>
      </c>
      <c r="T206" s="5" t="b">
        <v>0</v>
      </c>
      <c r="U206" s="5" t="b">
        <v>0</v>
      </c>
      <c r="V206" s="5" t="b">
        <v>0</v>
      </c>
      <c r="W206" s="5" t="b">
        <v>0</v>
      </c>
      <c r="X206" s="5">
        <v>1</v>
      </c>
      <c r="Y206" s="5">
        <v>1</v>
      </c>
      <c r="Z206" s="5" t="b">
        <v>0</v>
      </c>
      <c r="AA206" s="5">
        <v>2.5832592999999999</v>
      </c>
      <c r="AB206" s="5">
        <v>337.85356594598295</v>
      </c>
    </row>
    <row r="207" spans="2:28" x14ac:dyDescent="0.35">
      <c r="B207" s="5">
        <v>206</v>
      </c>
      <c r="C207" s="5">
        <v>242.45685682648914</v>
      </c>
      <c r="D207" s="5">
        <v>11.907880832968782</v>
      </c>
      <c r="E207" s="5">
        <v>15.52097984151605</v>
      </c>
      <c r="F207" s="5">
        <v>137.22048619025318</v>
      </c>
      <c r="G207" s="5">
        <v>123.45223799600804</v>
      </c>
      <c r="H207" s="5">
        <v>27.224448689215492</v>
      </c>
      <c r="I207" s="5">
        <v>1.1370786834783808</v>
      </c>
      <c r="J207" s="5">
        <v>32.3535281663682</v>
      </c>
      <c r="K207" s="5">
        <v>78.047885311132987</v>
      </c>
      <c r="L207" s="5">
        <v>5.9549379771631186</v>
      </c>
      <c r="M207" s="5" t="b">
        <v>0</v>
      </c>
      <c r="N207" s="5" t="b">
        <v>0</v>
      </c>
      <c r="O207" s="5" t="b">
        <v>0</v>
      </c>
      <c r="P207" s="5" t="b">
        <v>0</v>
      </c>
      <c r="Q207" s="5" t="b">
        <v>0</v>
      </c>
      <c r="R207" s="5" t="b">
        <v>1</v>
      </c>
      <c r="S207" s="5" t="b">
        <v>0</v>
      </c>
      <c r="T207" s="5" t="b">
        <v>0</v>
      </c>
      <c r="U207" s="5" t="b">
        <v>0</v>
      </c>
      <c r="V207" s="5" t="b">
        <v>0</v>
      </c>
      <c r="W207" s="5" t="b">
        <v>0</v>
      </c>
      <c r="X207" s="5">
        <v>0</v>
      </c>
      <c r="Y207" s="5">
        <v>1</v>
      </c>
      <c r="Z207" s="5" t="b">
        <v>0</v>
      </c>
      <c r="AA207" s="5">
        <v>3.9836127999999995</v>
      </c>
      <c r="AB207" s="5">
        <v>338.06356402648913</v>
      </c>
    </row>
    <row r="208" spans="2:28" x14ac:dyDescent="0.35">
      <c r="B208" s="5">
        <v>189</v>
      </c>
      <c r="C208" s="5">
        <v>211.75012026348867</v>
      </c>
      <c r="D208" s="5">
        <v>14.577063129598596</v>
      </c>
      <c r="E208" s="5">
        <v>12.896185278433283</v>
      </c>
      <c r="F208" s="5">
        <v>137.82872349719963</v>
      </c>
      <c r="G208" s="5">
        <v>103.85835190178196</v>
      </c>
      <c r="H208" s="5">
        <v>26.912084726052704</v>
      </c>
      <c r="I208" s="5">
        <v>0.74430257844683712</v>
      </c>
      <c r="J208" s="5">
        <v>27.348672414920909</v>
      </c>
      <c r="K208" s="5">
        <v>76.679304770607231</v>
      </c>
      <c r="L208" s="5">
        <v>6.3260159064684043</v>
      </c>
      <c r="M208" s="5" t="b">
        <v>0</v>
      </c>
      <c r="N208" s="5" t="b">
        <v>0</v>
      </c>
      <c r="O208" s="5" t="b">
        <v>0</v>
      </c>
      <c r="P208" s="5" t="b">
        <v>0</v>
      </c>
      <c r="Q208" s="5" t="b">
        <v>0</v>
      </c>
      <c r="R208" s="5" t="b">
        <v>1</v>
      </c>
      <c r="S208" s="5" t="b">
        <v>0</v>
      </c>
      <c r="T208" s="5" t="b">
        <v>1</v>
      </c>
      <c r="U208" s="5" t="b">
        <v>0</v>
      </c>
      <c r="V208" s="5" t="b">
        <v>0</v>
      </c>
      <c r="W208" s="5" t="b">
        <v>0</v>
      </c>
      <c r="X208" s="5">
        <v>3</v>
      </c>
      <c r="Y208" s="5">
        <v>1</v>
      </c>
      <c r="Z208" s="5" t="b">
        <v>1</v>
      </c>
      <c r="AA208" s="5">
        <v>5.3153980000000001</v>
      </c>
      <c r="AB208" s="5">
        <v>339.31967226348866</v>
      </c>
    </row>
    <row r="209" spans="2:28" x14ac:dyDescent="0.35">
      <c r="B209" s="5">
        <v>191</v>
      </c>
      <c r="C209" s="5">
        <v>217.40418682804304</v>
      </c>
      <c r="D209" s="5">
        <v>8.1843558949506612</v>
      </c>
      <c r="E209" s="5">
        <v>20.437211131120137</v>
      </c>
      <c r="F209" s="5">
        <v>140.56826049513418</v>
      </c>
      <c r="G209" s="5">
        <v>172.1603221701352</v>
      </c>
      <c r="H209" s="5">
        <v>11.03261937744216</v>
      </c>
      <c r="I209" s="5">
        <v>1.076533903649332</v>
      </c>
      <c r="J209" s="5">
        <v>30.46493280276826</v>
      </c>
      <c r="K209" s="5">
        <v>89.100158858077222</v>
      </c>
      <c r="L209" s="5">
        <v>6.1504390744705928</v>
      </c>
      <c r="M209" s="5" t="b">
        <v>0</v>
      </c>
      <c r="N209" s="5" t="b">
        <v>0</v>
      </c>
      <c r="O209" s="5" t="b">
        <v>0</v>
      </c>
      <c r="P209" s="5" t="b">
        <v>0</v>
      </c>
      <c r="Q209" s="5" t="b">
        <v>0</v>
      </c>
      <c r="R209" s="5" t="b">
        <v>1</v>
      </c>
      <c r="S209" s="5" t="b">
        <v>0</v>
      </c>
      <c r="T209" s="5" t="b">
        <v>0</v>
      </c>
      <c r="U209" s="5" t="b">
        <v>0</v>
      </c>
      <c r="V209" s="5" t="b">
        <v>0</v>
      </c>
      <c r="W209" s="5" t="b">
        <v>0</v>
      </c>
      <c r="X209" s="5">
        <v>1</v>
      </c>
      <c r="Y209" s="5">
        <v>0</v>
      </c>
      <c r="Z209" s="5" t="b">
        <v>1</v>
      </c>
      <c r="AA209" s="5">
        <v>5.1442756999999997</v>
      </c>
      <c r="AB209" s="5">
        <v>340.86680362804304</v>
      </c>
    </row>
    <row r="210" spans="2:28" x14ac:dyDescent="0.35">
      <c r="B210" s="5">
        <v>253</v>
      </c>
      <c r="C210" s="5">
        <v>299.43992973361475</v>
      </c>
      <c r="D210" s="5">
        <v>11.84280107464904</v>
      </c>
      <c r="E210" s="5">
        <v>13.859265018934906</v>
      </c>
      <c r="F210" s="5">
        <v>141.60687023150413</v>
      </c>
      <c r="G210" s="5">
        <v>148.08844519473951</v>
      </c>
      <c r="H210" s="5">
        <v>19.318926339250559</v>
      </c>
      <c r="I210" s="5">
        <v>0.89050676537462436</v>
      </c>
      <c r="J210" s="5">
        <v>32.867911312417931</v>
      </c>
      <c r="K210" s="5">
        <v>78.810726054226876</v>
      </c>
      <c r="L210" s="5">
        <v>6.4012611907965224</v>
      </c>
      <c r="M210" s="5" t="b">
        <v>0</v>
      </c>
      <c r="N210" s="5" t="b">
        <v>0</v>
      </c>
      <c r="O210" s="5" t="b">
        <v>0</v>
      </c>
      <c r="P210" s="5" t="b">
        <v>0</v>
      </c>
      <c r="Q210" s="5" t="b">
        <v>0</v>
      </c>
      <c r="R210" s="5" t="b">
        <v>0</v>
      </c>
      <c r="S210" s="5" t="b">
        <v>0</v>
      </c>
      <c r="T210" s="5" t="b">
        <v>0</v>
      </c>
      <c r="U210" s="5" t="b">
        <v>0</v>
      </c>
      <c r="V210" s="5" t="b">
        <v>0</v>
      </c>
      <c r="W210" s="5" t="b">
        <v>0</v>
      </c>
      <c r="X210" s="5">
        <v>2</v>
      </c>
      <c r="Y210" s="5">
        <v>0</v>
      </c>
      <c r="Z210" s="5" t="b">
        <v>0</v>
      </c>
      <c r="AA210" s="5">
        <v>1.7369783999999999</v>
      </c>
      <c r="AB210" s="5">
        <v>341.12741133361476</v>
      </c>
    </row>
    <row r="211" spans="2:28" x14ac:dyDescent="0.35">
      <c r="B211" s="5">
        <v>204</v>
      </c>
      <c r="C211" s="5">
        <v>238.61032638256157</v>
      </c>
      <c r="D211" s="5">
        <v>10.153778048693937</v>
      </c>
      <c r="E211" s="5">
        <v>3.3181637379133502</v>
      </c>
      <c r="F211" s="5">
        <v>137.25864546844477</v>
      </c>
      <c r="G211" s="5">
        <v>157.01464400025043</v>
      </c>
      <c r="H211" s="5">
        <v>11.006771733506966</v>
      </c>
      <c r="I211" s="5">
        <v>0.92611851283503355</v>
      </c>
      <c r="J211" s="5">
        <v>28.609197762102539</v>
      </c>
      <c r="K211" s="5">
        <v>71.464355257661666</v>
      </c>
      <c r="L211" s="5">
        <v>6.851594309634276</v>
      </c>
      <c r="M211" s="5" t="b">
        <v>0</v>
      </c>
      <c r="N211" s="5" t="b">
        <v>0</v>
      </c>
      <c r="O211" s="5" t="b">
        <v>1</v>
      </c>
      <c r="P211" s="5" t="b">
        <v>0</v>
      </c>
      <c r="Q211" s="5" t="b">
        <v>0</v>
      </c>
      <c r="R211" s="5" t="b">
        <v>0</v>
      </c>
      <c r="S211" s="5" t="b">
        <v>0</v>
      </c>
      <c r="T211" s="5" t="b">
        <v>0</v>
      </c>
      <c r="U211" s="5" t="b">
        <v>0</v>
      </c>
      <c r="V211" s="5" t="b">
        <v>0</v>
      </c>
      <c r="W211" s="5" t="b">
        <v>0</v>
      </c>
      <c r="X211" s="5">
        <v>1</v>
      </c>
      <c r="Y211" s="5">
        <v>1</v>
      </c>
      <c r="Z211" s="5" t="b">
        <v>1</v>
      </c>
      <c r="AA211" s="5">
        <v>4.3219513999999997</v>
      </c>
      <c r="AB211" s="5">
        <v>342.33715998256156</v>
      </c>
    </row>
    <row r="212" spans="2:28" x14ac:dyDescent="0.35">
      <c r="B212" s="5">
        <v>182</v>
      </c>
      <c r="C212" s="5">
        <v>204.96304902242633</v>
      </c>
      <c r="D212" s="5">
        <v>11.197844011215803</v>
      </c>
      <c r="E212" s="5">
        <v>12.83909745134433</v>
      </c>
      <c r="F212" s="5">
        <v>134.37314386650962</v>
      </c>
      <c r="G212" s="5">
        <v>164.12337902086315</v>
      </c>
      <c r="H212" s="5">
        <v>23.935114245913766</v>
      </c>
      <c r="I212" s="5">
        <v>1.1357551573229392</v>
      </c>
      <c r="J212" s="5">
        <v>30.624663618645734</v>
      </c>
      <c r="K212" s="5">
        <v>95.685041119218553</v>
      </c>
      <c r="L212" s="5">
        <v>5.8631555052625801</v>
      </c>
      <c r="M212" s="5" t="b">
        <v>0</v>
      </c>
      <c r="N212" s="5" t="b">
        <v>0</v>
      </c>
      <c r="O212" s="5" t="b">
        <v>1</v>
      </c>
      <c r="P212" s="5" t="b">
        <v>0</v>
      </c>
      <c r="Q212" s="5" t="b">
        <v>0</v>
      </c>
      <c r="R212" s="5" t="b">
        <v>0</v>
      </c>
      <c r="S212" s="5" t="b">
        <v>0</v>
      </c>
      <c r="T212" s="5" t="b">
        <v>0</v>
      </c>
      <c r="U212" s="5" t="b">
        <v>0</v>
      </c>
      <c r="V212" s="5" t="b">
        <v>0</v>
      </c>
      <c r="W212" s="5" t="b">
        <v>0</v>
      </c>
      <c r="X212" s="5">
        <v>1</v>
      </c>
      <c r="Y212" s="5">
        <v>2</v>
      </c>
      <c r="Z212" s="5" t="b">
        <v>0</v>
      </c>
      <c r="AA212" s="5">
        <v>5.7276464000000002</v>
      </c>
      <c r="AB212" s="5">
        <v>342.42656262242633</v>
      </c>
    </row>
    <row r="213" spans="2:28" x14ac:dyDescent="0.35">
      <c r="B213" s="5">
        <v>178</v>
      </c>
      <c r="C213" s="5">
        <v>196.19099718888555</v>
      </c>
      <c r="D213" s="5">
        <v>8.3213775307852877</v>
      </c>
      <c r="E213" s="5">
        <v>9.7198353110161246</v>
      </c>
      <c r="F213" s="5">
        <v>136.11707126254132</v>
      </c>
      <c r="G213" s="5">
        <v>111.45304964152177</v>
      </c>
      <c r="H213" s="5">
        <v>6.1096441022801926</v>
      </c>
      <c r="I213" s="5">
        <v>1.1423148558132552</v>
      </c>
      <c r="J213" s="5">
        <v>26.321831420848074</v>
      </c>
      <c r="K213" s="5">
        <v>86.214397201375647</v>
      </c>
      <c r="L213" s="5">
        <v>5.1229054465671204</v>
      </c>
      <c r="M213" s="5" t="b">
        <v>0</v>
      </c>
      <c r="N213" s="5" t="b">
        <v>0</v>
      </c>
      <c r="O213" s="5" t="b">
        <v>0</v>
      </c>
      <c r="P213" s="5" t="b">
        <v>0</v>
      </c>
      <c r="Q213" s="5" t="b">
        <v>0</v>
      </c>
      <c r="R213" s="5" t="b">
        <v>0</v>
      </c>
      <c r="S213" s="5" t="b">
        <v>0</v>
      </c>
      <c r="T213" s="5" t="b">
        <v>0</v>
      </c>
      <c r="U213" s="5" t="b">
        <v>0</v>
      </c>
      <c r="V213" s="5" t="b">
        <v>0</v>
      </c>
      <c r="W213" s="5" t="b">
        <v>0</v>
      </c>
      <c r="X213" s="5">
        <v>2</v>
      </c>
      <c r="Y213" s="5">
        <v>2</v>
      </c>
      <c r="Z213" s="5" t="b">
        <v>0</v>
      </c>
      <c r="AA213" s="5">
        <v>6.1244407000000001</v>
      </c>
      <c r="AB213" s="5">
        <v>343.17757398888557</v>
      </c>
    </row>
    <row r="214" spans="2:28" x14ac:dyDescent="0.35">
      <c r="B214" s="5">
        <v>185</v>
      </c>
      <c r="C214" s="5">
        <v>209.25694331809444</v>
      </c>
      <c r="D214" s="5">
        <v>13.88393716800015</v>
      </c>
      <c r="E214" s="5">
        <v>12.857917696167616</v>
      </c>
      <c r="F214" s="5">
        <v>134.32186009047098</v>
      </c>
      <c r="G214" s="5">
        <v>183.13723030510678</v>
      </c>
      <c r="H214" s="5">
        <v>26.612698490422325</v>
      </c>
      <c r="I214" s="5">
        <v>1.1728275853940247</v>
      </c>
      <c r="J214" s="5">
        <v>32.525050980358358</v>
      </c>
      <c r="K214" s="5">
        <v>89.865381069722844</v>
      </c>
      <c r="L214" s="5">
        <v>6.3130454466633958</v>
      </c>
      <c r="M214" s="5" t="b">
        <v>0</v>
      </c>
      <c r="N214" s="5" t="b">
        <v>0</v>
      </c>
      <c r="O214" s="5" t="b">
        <v>0</v>
      </c>
      <c r="P214" s="5" t="b">
        <v>0</v>
      </c>
      <c r="Q214" s="5" t="b">
        <v>0</v>
      </c>
      <c r="R214" s="5" t="b">
        <v>0</v>
      </c>
      <c r="S214" s="5" t="b">
        <v>0</v>
      </c>
      <c r="T214" s="5" t="b">
        <v>0</v>
      </c>
      <c r="U214" s="5" t="b">
        <v>0</v>
      </c>
      <c r="V214" s="5" t="b">
        <v>0</v>
      </c>
      <c r="W214" s="5" t="b">
        <v>0</v>
      </c>
      <c r="X214" s="5">
        <v>1</v>
      </c>
      <c r="Y214" s="5">
        <v>1</v>
      </c>
      <c r="Z214" s="5" t="b">
        <v>0</v>
      </c>
      <c r="AA214" s="5">
        <v>5.6308284000000004</v>
      </c>
      <c r="AB214" s="5">
        <v>344.39682491809447</v>
      </c>
    </row>
    <row r="215" spans="2:28" x14ac:dyDescent="0.35">
      <c r="B215" s="5">
        <v>238</v>
      </c>
      <c r="C215" s="5">
        <v>282.38923719387896</v>
      </c>
      <c r="D215" s="5">
        <v>9.6457919227957341</v>
      </c>
      <c r="E215" s="5">
        <v>9.2197774871112799</v>
      </c>
      <c r="F215" s="5">
        <v>140.57540282502728</v>
      </c>
      <c r="G215" s="5">
        <v>117.33662703783205</v>
      </c>
      <c r="H215" s="5">
        <v>11.094400361362197</v>
      </c>
      <c r="I215" s="5">
        <v>0.61873705680054147</v>
      </c>
      <c r="J215" s="5">
        <v>28.92261219241411</v>
      </c>
      <c r="K215" s="5">
        <v>63.89303475054858</v>
      </c>
      <c r="L215" s="5">
        <v>6.3300071526472461</v>
      </c>
      <c r="M215" s="5" t="b">
        <v>0</v>
      </c>
      <c r="N215" s="5" t="b">
        <v>0</v>
      </c>
      <c r="O215" s="5" t="b">
        <v>0</v>
      </c>
      <c r="P215" s="5" t="b">
        <v>0</v>
      </c>
      <c r="Q215" s="5" t="b">
        <v>0</v>
      </c>
      <c r="R215" s="5" t="b">
        <v>0</v>
      </c>
      <c r="S215" s="5" t="b">
        <v>0</v>
      </c>
      <c r="T215" s="5" t="b">
        <v>0</v>
      </c>
      <c r="U215" s="5" t="b">
        <v>0</v>
      </c>
      <c r="V215" s="5" t="b">
        <v>0</v>
      </c>
      <c r="W215" s="5" t="b">
        <v>0</v>
      </c>
      <c r="X215" s="5">
        <v>1</v>
      </c>
      <c r="Y215" s="5">
        <v>1</v>
      </c>
      <c r="Z215" s="5" t="b">
        <v>1</v>
      </c>
      <c r="AA215" s="5">
        <v>2.6208179999999999</v>
      </c>
      <c r="AB215" s="5">
        <v>345.28886919387895</v>
      </c>
    </row>
    <row r="216" spans="2:28" x14ac:dyDescent="0.35">
      <c r="B216" s="5">
        <v>221</v>
      </c>
      <c r="C216" s="5">
        <v>257.05392479499011</v>
      </c>
      <c r="D216" s="5">
        <v>12.08612096582463</v>
      </c>
      <c r="E216" s="5">
        <v>6.1958348353579957</v>
      </c>
      <c r="F216" s="5">
        <v>136.67145358616477</v>
      </c>
      <c r="G216" s="5">
        <v>137.85873003405521</v>
      </c>
      <c r="H216" s="5">
        <v>4.2892189280762594</v>
      </c>
      <c r="I216" s="5">
        <v>0.83792136159927455</v>
      </c>
      <c r="J216" s="5">
        <v>28.757250555385195</v>
      </c>
      <c r="K216" s="5">
        <v>82.728020509546951</v>
      </c>
      <c r="L216" s="5">
        <v>7.5203797039927167</v>
      </c>
      <c r="M216" s="5" t="b">
        <v>0</v>
      </c>
      <c r="N216" s="5" t="b">
        <v>0</v>
      </c>
      <c r="O216" s="5" t="b">
        <v>0</v>
      </c>
      <c r="P216" s="5" t="b">
        <v>0</v>
      </c>
      <c r="Q216" s="5" t="b">
        <v>0</v>
      </c>
      <c r="R216" s="5" t="b">
        <v>1</v>
      </c>
      <c r="S216" s="5" t="b">
        <v>0</v>
      </c>
      <c r="T216" s="5" t="b">
        <v>0</v>
      </c>
      <c r="U216" s="5" t="b">
        <v>0</v>
      </c>
      <c r="V216" s="5" t="b">
        <v>0</v>
      </c>
      <c r="W216" s="5" t="b">
        <v>0</v>
      </c>
      <c r="X216" s="5">
        <v>0</v>
      </c>
      <c r="Y216" s="5">
        <v>0</v>
      </c>
      <c r="Z216" s="5" t="b">
        <v>1</v>
      </c>
      <c r="AA216" s="5">
        <v>3.7158935</v>
      </c>
      <c r="AB216" s="5">
        <v>346.23536879499011</v>
      </c>
    </row>
    <row r="217" spans="2:28" x14ac:dyDescent="0.35">
      <c r="B217" s="5">
        <v>250</v>
      </c>
      <c r="C217" s="5">
        <v>295.35627073130843</v>
      </c>
      <c r="D217" s="5">
        <v>11.755873638975622</v>
      </c>
      <c r="E217" s="5">
        <v>12.22077694369159</v>
      </c>
      <c r="F217" s="5">
        <v>137.92892226148564</v>
      </c>
      <c r="G217" s="5">
        <v>141.8667165862343</v>
      </c>
      <c r="H217" s="5">
        <v>15.754221896314657</v>
      </c>
      <c r="I217" s="5">
        <v>1.1684847771918818</v>
      </c>
      <c r="J217" s="5">
        <v>27.5921616790625</v>
      </c>
      <c r="K217" s="5">
        <v>55.781777105871001</v>
      </c>
      <c r="L217" s="5">
        <v>6.5028724640947777</v>
      </c>
      <c r="M217" s="5" t="b">
        <v>0</v>
      </c>
      <c r="N217" s="5" t="b">
        <v>0</v>
      </c>
      <c r="O217" s="5" t="b">
        <v>0</v>
      </c>
      <c r="P217" s="5" t="b">
        <v>0</v>
      </c>
      <c r="Q217" s="5" t="b">
        <v>0</v>
      </c>
      <c r="R217" s="5" t="b">
        <v>0</v>
      </c>
      <c r="S217" s="5" t="b">
        <v>0</v>
      </c>
      <c r="T217" s="5" t="b">
        <v>0</v>
      </c>
      <c r="U217" s="5" t="b">
        <v>0</v>
      </c>
      <c r="V217" s="5" t="b">
        <v>0</v>
      </c>
      <c r="W217" s="5" t="b">
        <v>0</v>
      </c>
      <c r="X217" s="5">
        <v>1</v>
      </c>
      <c r="Y217" s="5">
        <v>1</v>
      </c>
      <c r="Z217" s="5" t="b">
        <v>1</v>
      </c>
      <c r="AA217" s="5">
        <v>2.1392658</v>
      </c>
      <c r="AB217" s="5">
        <v>346.69864993130841</v>
      </c>
    </row>
    <row r="218" spans="2:28" x14ac:dyDescent="0.35">
      <c r="B218" s="5">
        <v>236</v>
      </c>
      <c r="C218" s="5">
        <v>275.93440428391688</v>
      </c>
      <c r="D218" s="5">
        <v>12.916856652951905</v>
      </c>
      <c r="E218" s="5">
        <v>11.459943674044943</v>
      </c>
      <c r="F218" s="5">
        <v>135.60298008854016</v>
      </c>
      <c r="G218" s="5">
        <v>146.13584014824747</v>
      </c>
      <c r="H218" s="5">
        <v>11.062633051064363</v>
      </c>
      <c r="I218" s="5">
        <v>0.94748316070949989</v>
      </c>
      <c r="J218" s="5">
        <v>30.689765889645237</v>
      </c>
      <c r="K218" s="5">
        <v>84.984457344101486</v>
      </c>
      <c r="L218" s="5">
        <v>6.8798694432930736</v>
      </c>
      <c r="M218" s="5" t="b">
        <v>0</v>
      </c>
      <c r="N218" s="5" t="b">
        <v>0</v>
      </c>
      <c r="O218" s="5" t="b">
        <v>0</v>
      </c>
      <c r="P218" s="5" t="b">
        <v>0</v>
      </c>
      <c r="Q218" s="5" t="b">
        <v>0</v>
      </c>
      <c r="R218" s="5" t="b">
        <v>0</v>
      </c>
      <c r="S218" s="5" t="b">
        <v>0</v>
      </c>
      <c r="T218" s="5" t="b">
        <v>1</v>
      </c>
      <c r="U218" s="5" t="b">
        <v>0</v>
      </c>
      <c r="V218" s="5" t="b">
        <v>0</v>
      </c>
      <c r="W218" s="5" t="b">
        <v>0</v>
      </c>
      <c r="X218" s="5">
        <v>2</v>
      </c>
      <c r="Y218" s="5">
        <v>0</v>
      </c>
      <c r="Z218" s="5" t="b">
        <v>1</v>
      </c>
      <c r="AA218" s="5">
        <v>2.9753107999999999</v>
      </c>
      <c r="AB218" s="5">
        <v>347.34186348391688</v>
      </c>
    </row>
    <row r="219" spans="2:28" x14ac:dyDescent="0.35">
      <c r="B219" s="5">
        <v>223</v>
      </c>
      <c r="C219" s="5">
        <v>258.64743216982185</v>
      </c>
      <c r="D219" s="5">
        <v>12.625619757937013</v>
      </c>
      <c r="E219" s="5">
        <v>7.8499857942483047</v>
      </c>
      <c r="F219" s="5">
        <v>136.42975650078449</v>
      </c>
      <c r="G219" s="5">
        <v>164.15160263965313</v>
      </c>
      <c r="H219" s="5">
        <v>12.762400578815225</v>
      </c>
      <c r="I219" s="5">
        <v>0.85888652988219805</v>
      </c>
      <c r="J219" s="5">
        <v>31.552007498305919</v>
      </c>
      <c r="K219" s="5">
        <v>79.991088236656765</v>
      </c>
      <c r="L219" s="5">
        <v>6.0338489291850976</v>
      </c>
      <c r="M219" s="5" t="b">
        <v>0</v>
      </c>
      <c r="N219" s="5" t="b">
        <v>0</v>
      </c>
      <c r="O219" s="5" t="b">
        <v>0</v>
      </c>
      <c r="P219" s="5" t="b">
        <v>0</v>
      </c>
      <c r="Q219" s="5" t="b">
        <v>0</v>
      </c>
      <c r="R219" s="5" t="b">
        <v>1</v>
      </c>
      <c r="S219" s="5" t="b">
        <v>0</v>
      </c>
      <c r="T219" s="5" t="b">
        <v>0</v>
      </c>
      <c r="U219" s="5" t="b">
        <v>0</v>
      </c>
      <c r="V219" s="5" t="b">
        <v>0</v>
      </c>
      <c r="W219" s="5" t="b">
        <v>0</v>
      </c>
      <c r="X219" s="5">
        <v>1</v>
      </c>
      <c r="Y219" s="5">
        <v>1</v>
      </c>
      <c r="Z219" s="5" t="b">
        <v>1</v>
      </c>
      <c r="AA219" s="5">
        <v>3.9168944000000003</v>
      </c>
      <c r="AB219" s="5">
        <v>352.65289776982183</v>
      </c>
    </row>
    <row r="220" spans="2:28" x14ac:dyDescent="0.35">
      <c r="B220" s="5">
        <v>243</v>
      </c>
      <c r="C220" s="5">
        <v>285.35525811494222</v>
      </c>
      <c r="D220" s="5">
        <v>9.5496900945037844</v>
      </c>
      <c r="E220" s="5">
        <v>12.548680310147931</v>
      </c>
      <c r="F220" s="5">
        <v>143.85568319226752</v>
      </c>
      <c r="G220" s="5">
        <v>144.97808623167867</v>
      </c>
      <c r="H220" s="5">
        <v>30.503054874343114</v>
      </c>
      <c r="I220" s="5">
        <v>1.036665379262945</v>
      </c>
      <c r="J220" s="5">
        <v>28.499221396831935</v>
      </c>
      <c r="K220" s="5">
        <v>62.629703573558146</v>
      </c>
      <c r="L220" s="5">
        <v>5.9859896432420898</v>
      </c>
      <c r="M220" s="5" t="b">
        <v>0</v>
      </c>
      <c r="N220" s="5" t="b">
        <v>0</v>
      </c>
      <c r="O220" s="5" t="b">
        <v>0</v>
      </c>
      <c r="P220" s="5" t="b">
        <v>0</v>
      </c>
      <c r="Q220" s="5" t="b">
        <v>0</v>
      </c>
      <c r="R220" s="5" t="b">
        <v>0</v>
      </c>
      <c r="S220" s="5" t="b">
        <v>0</v>
      </c>
      <c r="T220" s="5" t="b">
        <v>0</v>
      </c>
      <c r="U220" s="5" t="b">
        <v>0</v>
      </c>
      <c r="V220" s="5" t="b">
        <v>0</v>
      </c>
      <c r="W220" s="5" t="b">
        <v>0</v>
      </c>
      <c r="X220" s="5">
        <v>1</v>
      </c>
      <c r="Y220" s="5">
        <v>0</v>
      </c>
      <c r="Z220" s="5" t="b">
        <v>0</v>
      </c>
      <c r="AA220" s="5">
        <v>2.8416733999999999</v>
      </c>
      <c r="AB220" s="5">
        <v>353.55541971494222</v>
      </c>
    </row>
    <row r="221" spans="2:28" x14ac:dyDescent="0.35">
      <c r="B221" s="5">
        <v>240</v>
      </c>
      <c r="C221" s="5">
        <v>283.7697855506085</v>
      </c>
      <c r="D221" s="5">
        <v>13.4565199625806</v>
      </c>
      <c r="E221" s="5">
        <v>14.588467455207853</v>
      </c>
      <c r="F221" s="5">
        <v>134.90199496941071</v>
      </c>
      <c r="G221" s="5">
        <v>112.78020539934397</v>
      </c>
      <c r="H221" s="5">
        <v>23.610406466864458</v>
      </c>
      <c r="I221" s="5">
        <v>1.1544128796557476</v>
      </c>
      <c r="J221" s="5">
        <v>31.43672222714374</v>
      </c>
      <c r="K221" s="5">
        <v>64.183486145416026</v>
      </c>
      <c r="L221" s="5">
        <v>6.6370242543897815</v>
      </c>
      <c r="M221" s="5" t="b">
        <v>0</v>
      </c>
      <c r="N221" s="5" t="b">
        <v>0</v>
      </c>
      <c r="O221" s="5" t="b">
        <v>0</v>
      </c>
      <c r="P221" s="5" t="b">
        <v>0</v>
      </c>
      <c r="Q221" s="5" t="b">
        <v>0</v>
      </c>
      <c r="R221" s="5" t="b">
        <v>1</v>
      </c>
      <c r="S221" s="5" t="b">
        <v>0</v>
      </c>
      <c r="T221" s="5" t="b">
        <v>0</v>
      </c>
      <c r="U221" s="5" t="b">
        <v>0</v>
      </c>
      <c r="V221" s="5" t="b">
        <v>0</v>
      </c>
      <c r="W221" s="5" t="b">
        <v>0</v>
      </c>
      <c r="X221" s="5">
        <v>1</v>
      </c>
      <c r="Y221" s="5">
        <v>0</v>
      </c>
      <c r="Z221" s="5" t="b">
        <v>0</v>
      </c>
      <c r="AA221" s="5">
        <v>2.9309614000000002</v>
      </c>
      <c r="AB221" s="5">
        <v>354.11285915060853</v>
      </c>
    </row>
    <row r="222" spans="2:28" x14ac:dyDescent="0.35">
      <c r="B222" s="5">
        <v>247</v>
      </c>
      <c r="C222" s="5">
        <v>289.55631470310294</v>
      </c>
      <c r="D222" s="5">
        <v>11.070360880990751</v>
      </c>
      <c r="E222" s="5">
        <v>2.4078523685388733</v>
      </c>
      <c r="F222" s="5">
        <v>141.01389840141013</v>
      </c>
      <c r="G222" s="5">
        <v>121.48436492877141</v>
      </c>
      <c r="H222" s="5">
        <v>22.731867358009833</v>
      </c>
      <c r="I222" s="5">
        <v>1.0138713104398109</v>
      </c>
      <c r="J222" s="5">
        <v>28.660242477801912</v>
      </c>
      <c r="K222" s="5">
        <v>62.864056482061905</v>
      </c>
      <c r="L222" s="5">
        <v>6.2267822511808451</v>
      </c>
      <c r="M222" s="5" t="b">
        <v>0</v>
      </c>
      <c r="N222" s="5" t="b">
        <v>0</v>
      </c>
      <c r="O222" s="5" t="b">
        <v>0</v>
      </c>
      <c r="P222" s="5" t="b">
        <v>0</v>
      </c>
      <c r="Q222" s="5" t="b">
        <v>1</v>
      </c>
      <c r="R222" s="5" t="b">
        <v>0</v>
      </c>
      <c r="S222" s="5" t="b">
        <v>0</v>
      </c>
      <c r="T222" s="5" t="b">
        <v>0</v>
      </c>
      <c r="U222" s="5" t="b">
        <v>0</v>
      </c>
      <c r="V222" s="5" t="b">
        <v>0</v>
      </c>
      <c r="W222" s="5" t="b">
        <v>0</v>
      </c>
      <c r="X222" s="5">
        <v>1</v>
      </c>
      <c r="Y222" s="5">
        <v>0</v>
      </c>
      <c r="Z222" s="5" t="b">
        <v>1</v>
      </c>
      <c r="AA222" s="5">
        <v>2.7403178000000001</v>
      </c>
      <c r="AB222" s="5">
        <v>355.32394190310293</v>
      </c>
    </row>
    <row r="223" spans="2:28" x14ac:dyDescent="0.35">
      <c r="B223" s="5">
        <v>215</v>
      </c>
      <c r="C223" s="5">
        <v>253.29023760115743</v>
      </c>
      <c r="D223" s="5">
        <v>12.915872909659118</v>
      </c>
      <c r="E223" s="5">
        <v>16.355360712825274</v>
      </c>
      <c r="F223" s="5">
        <v>135.94764712318963</v>
      </c>
      <c r="G223" s="5">
        <v>146.86675878897444</v>
      </c>
      <c r="H223" s="5">
        <v>18.388735325738271</v>
      </c>
      <c r="I223" s="5">
        <v>1.0171174655841271</v>
      </c>
      <c r="J223" s="5">
        <v>29.118376868597451</v>
      </c>
      <c r="K223" s="5">
        <v>86.806373835461798</v>
      </c>
      <c r="L223" s="5">
        <v>5.9703283121501558</v>
      </c>
      <c r="M223" s="5" t="b">
        <v>0</v>
      </c>
      <c r="N223" s="5" t="b">
        <v>0</v>
      </c>
      <c r="O223" s="5" t="b">
        <v>0</v>
      </c>
      <c r="P223" s="5" t="b">
        <v>1</v>
      </c>
      <c r="Q223" s="5" t="b">
        <v>0</v>
      </c>
      <c r="R223" s="5" t="b">
        <v>0</v>
      </c>
      <c r="S223" s="5" t="b">
        <v>0</v>
      </c>
      <c r="T223" s="5" t="b">
        <v>0</v>
      </c>
      <c r="U223" s="5" t="b">
        <v>0</v>
      </c>
      <c r="V223" s="5" t="b">
        <v>0</v>
      </c>
      <c r="W223" s="5" t="b">
        <v>0</v>
      </c>
      <c r="X223" s="5">
        <v>0</v>
      </c>
      <c r="Y223" s="5">
        <v>1</v>
      </c>
      <c r="Z223" s="5" t="b">
        <v>0</v>
      </c>
      <c r="AA223" s="5">
        <v>4.2575539999999998</v>
      </c>
      <c r="AB223" s="5">
        <v>355.47153360115743</v>
      </c>
    </row>
    <row r="224" spans="2:28" x14ac:dyDescent="0.35">
      <c r="B224" s="5">
        <v>224</v>
      </c>
      <c r="C224" s="5">
        <v>258.67615909834609</v>
      </c>
      <c r="D224" s="5">
        <v>11.077445879720202</v>
      </c>
      <c r="E224" s="5">
        <v>11.172170965047796</v>
      </c>
      <c r="F224" s="5">
        <v>136.03258426547072</v>
      </c>
      <c r="G224" s="5">
        <v>67.528584212078854</v>
      </c>
      <c r="H224" s="5">
        <v>24.911361767550062</v>
      </c>
      <c r="I224" s="5">
        <v>1.1753762669378545</v>
      </c>
      <c r="J224" s="5">
        <v>26.836214211851292</v>
      </c>
      <c r="K224" s="5">
        <v>61.916319879969208</v>
      </c>
      <c r="L224" s="5">
        <v>6.7831013535795552</v>
      </c>
      <c r="M224" s="5" t="b">
        <v>0</v>
      </c>
      <c r="N224" s="5" t="b">
        <v>0</v>
      </c>
      <c r="O224" s="5" t="b">
        <v>0</v>
      </c>
      <c r="P224" s="5" t="b">
        <v>0</v>
      </c>
      <c r="Q224" s="5" t="b">
        <v>0</v>
      </c>
      <c r="R224" s="5" t="b">
        <v>1</v>
      </c>
      <c r="S224" s="5" t="b">
        <v>0</v>
      </c>
      <c r="T224" s="5" t="b">
        <v>0</v>
      </c>
      <c r="U224" s="5" t="b">
        <v>0</v>
      </c>
      <c r="V224" s="5" t="b">
        <v>0</v>
      </c>
      <c r="W224" s="5" t="b">
        <v>0</v>
      </c>
      <c r="X224" s="5">
        <v>0</v>
      </c>
      <c r="Y224" s="5">
        <v>1</v>
      </c>
      <c r="Z224" s="5" t="b">
        <v>1</v>
      </c>
      <c r="AA224" s="5">
        <v>4.0389160000000004</v>
      </c>
      <c r="AB224" s="5">
        <v>355.6101430983461</v>
      </c>
    </row>
    <row r="225" spans="2:28" x14ac:dyDescent="0.35">
      <c r="B225" s="5">
        <v>218</v>
      </c>
      <c r="C225" s="5">
        <v>256.15660457147135</v>
      </c>
      <c r="D225" s="5">
        <v>10.295611352543499</v>
      </c>
      <c r="E225" s="5">
        <v>7.5181106527546442</v>
      </c>
      <c r="F225" s="5">
        <v>138.30441903408249</v>
      </c>
      <c r="G225" s="5">
        <v>139.97131071206127</v>
      </c>
      <c r="H225" s="5">
        <v>26.738139095232821</v>
      </c>
      <c r="I225" s="5">
        <v>0.96688284985171047</v>
      </c>
      <c r="J225" s="5">
        <v>31.022698625802132</v>
      </c>
      <c r="K225" s="5">
        <v>64.083479858027147</v>
      </c>
      <c r="L225" s="5">
        <v>7.6669337758110192</v>
      </c>
      <c r="M225" s="5" t="b">
        <v>0</v>
      </c>
      <c r="N225" s="5" t="b">
        <v>0</v>
      </c>
      <c r="O225" s="5" t="b">
        <v>0</v>
      </c>
      <c r="P225" s="5" t="b">
        <v>0</v>
      </c>
      <c r="Q225" s="5" t="b">
        <v>0</v>
      </c>
      <c r="R225" s="5" t="b">
        <v>0</v>
      </c>
      <c r="S225" s="5" t="b">
        <v>1</v>
      </c>
      <c r="T225" s="5" t="b">
        <v>0</v>
      </c>
      <c r="U225" s="5" t="b">
        <v>0</v>
      </c>
      <c r="V225" s="5" t="b">
        <v>0</v>
      </c>
      <c r="W225" s="5" t="b">
        <v>0</v>
      </c>
      <c r="X225" s="5">
        <v>0</v>
      </c>
      <c r="Y225" s="5">
        <v>1</v>
      </c>
      <c r="Z225" s="5" t="b">
        <v>0</v>
      </c>
      <c r="AA225" s="5">
        <v>4.1872572999999997</v>
      </c>
      <c r="AB225" s="5">
        <v>356.65077977147132</v>
      </c>
    </row>
    <row r="226" spans="2:28" x14ac:dyDescent="0.35">
      <c r="B226" s="5">
        <v>202</v>
      </c>
      <c r="C226" s="5">
        <v>235.65194813454406</v>
      </c>
      <c r="D226" s="5">
        <v>12.955530924684894</v>
      </c>
      <c r="E226" s="5">
        <v>15.840794661734179</v>
      </c>
      <c r="F226" s="5">
        <v>138.47181138537488</v>
      </c>
      <c r="G226" s="5">
        <v>197.03630306386066</v>
      </c>
      <c r="H226" s="5">
        <v>19.373328108908161</v>
      </c>
      <c r="I226" s="5">
        <v>1.3779465343312522</v>
      </c>
      <c r="J226" s="5">
        <v>30.566900912904075</v>
      </c>
      <c r="K226" s="5">
        <v>66.230520765538571</v>
      </c>
      <c r="L226" s="5">
        <v>5.810997161095437</v>
      </c>
      <c r="M226" s="5" t="b">
        <v>0</v>
      </c>
      <c r="N226" s="5" t="b">
        <v>0</v>
      </c>
      <c r="O226" s="5" t="b">
        <v>0</v>
      </c>
      <c r="P226" s="5" t="b">
        <v>0</v>
      </c>
      <c r="Q226" s="5" t="b">
        <v>0</v>
      </c>
      <c r="R226" s="5" t="b">
        <v>1</v>
      </c>
      <c r="S226" s="5" t="b">
        <v>0</v>
      </c>
      <c r="T226" s="5" t="b">
        <v>0</v>
      </c>
      <c r="U226" s="5" t="b">
        <v>0</v>
      </c>
      <c r="V226" s="5" t="b">
        <v>0</v>
      </c>
      <c r="W226" s="5" t="b">
        <v>0</v>
      </c>
      <c r="X226" s="5">
        <v>2</v>
      </c>
      <c r="Y226" s="5">
        <v>1</v>
      </c>
      <c r="Z226" s="5" t="b">
        <v>1</v>
      </c>
      <c r="AA226" s="5">
        <v>5.1434959999999998</v>
      </c>
      <c r="AB226" s="5">
        <v>359.09585213454403</v>
      </c>
    </row>
    <row r="227" spans="2:28" x14ac:dyDescent="0.35">
      <c r="B227" s="5">
        <v>225</v>
      </c>
      <c r="C227" s="5">
        <v>258.81260460073071</v>
      </c>
      <c r="D227" s="5">
        <v>11.560207778187918</v>
      </c>
      <c r="E227" s="5">
        <v>3.7723478759101727</v>
      </c>
      <c r="F227" s="5">
        <v>137.79048453205496</v>
      </c>
      <c r="G227" s="5">
        <v>134.11944580930185</v>
      </c>
      <c r="H227" s="5">
        <v>4.9747152441624962</v>
      </c>
      <c r="I227" s="5">
        <v>1.4026123243125088</v>
      </c>
      <c r="J227" s="5">
        <v>28.495151740544298</v>
      </c>
      <c r="K227" s="5">
        <v>63.886586795944709</v>
      </c>
      <c r="L227" s="5">
        <v>6.3378569643871581</v>
      </c>
      <c r="M227" s="5" t="b">
        <v>0</v>
      </c>
      <c r="N227" s="5" t="b">
        <v>0</v>
      </c>
      <c r="O227" s="5" t="b">
        <v>1</v>
      </c>
      <c r="P227" s="5" t="b">
        <v>0</v>
      </c>
      <c r="Q227" s="5" t="b">
        <v>0</v>
      </c>
      <c r="R227" s="5" t="b">
        <v>0</v>
      </c>
      <c r="S227" s="5" t="b">
        <v>0</v>
      </c>
      <c r="T227" s="5" t="b">
        <v>0</v>
      </c>
      <c r="U227" s="5" t="b">
        <v>0</v>
      </c>
      <c r="V227" s="5" t="b">
        <v>0</v>
      </c>
      <c r="W227" s="5" t="b">
        <v>0</v>
      </c>
      <c r="X227" s="5">
        <v>1</v>
      </c>
      <c r="Y227" s="5">
        <v>1</v>
      </c>
      <c r="Z227" s="5" t="b">
        <v>0</v>
      </c>
      <c r="AA227" s="5">
        <v>4.1938199999999997</v>
      </c>
      <c r="AB227" s="5">
        <v>359.46428460073071</v>
      </c>
    </row>
    <row r="228" spans="2:28" x14ac:dyDescent="0.35">
      <c r="B228" s="5">
        <v>277</v>
      </c>
      <c r="C228" s="5">
        <v>338.06356402648913</v>
      </c>
      <c r="D228" s="5">
        <v>13.17728638471575</v>
      </c>
      <c r="E228" s="5">
        <v>14.418846121066833</v>
      </c>
      <c r="F228" s="5">
        <v>136.85299494829465</v>
      </c>
      <c r="G228" s="5">
        <v>94.271452929395707</v>
      </c>
      <c r="H228" s="5">
        <v>25.128446378668762</v>
      </c>
      <c r="I228" s="5">
        <v>1.0206550219630226</v>
      </c>
      <c r="J228" s="5">
        <v>27.900947432199132</v>
      </c>
      <c r="K228" s="5">
        <v>79.945416609042724</v>
      </c>
      <c r="L228" s="5">
        <v>6.8972856299583638</v>
      </c>
      <c r="M228" s="5" t="b">
        <v>0</v>
      </c>
      <c r="N228" s="5" t="b">
        <v>0</v>
      </c>
      <c r="O228" s="5" t="b">
        <v>0</v>
      </c>
      <c r="P228" s="5" t="b">
        <v>0</v>
      </c>
      <c r="Q228" s="5" t="b">
        <v>0</v>
      </c>
      <c r="R228" s="5" t="b">
        <v>0</v>
      </c>
      <c r="S228" s="5" t="b">
        <v>0</v>
      </c>
      <c r="T228" s="5" t="b">
        <v>0</v>
      </c>
      <c r="U228" s="5" t="b">
        <v>0</v>
      </c>
      <c r="V228" s="5" t="b">
        <v>0</v>
      </c>
      <c r="W228" s="5" t="b">
        <v>0</v>
      </c>
      <c r="X228" s="5">
        <v>3</v>
      </c>
      <c r="Y228" s="5">
        <v>0</v>
      </c>
      <c r="Z228" s="5" t="b">
        <v>0</v>
      </c>
      <c r="AA228" s="5">
        <v>0.91738929999999996</v>
      </c>
      <c r="AB228" s="5">
        <v>360.0809072264891</v>
      </c>
    </row>
    <row r="229" spans="2:28" x14ac:dyDescent="0.35">
      <c r="B229" s="5">
        <v>246</v>
      </c>
      <c r="C229" s="5">
        <v>289.5183118104672</v>
      </c>
      <c r="D229" s="5">
        <v>12.437873261240036</v>
      </c>
      <c r="E229" s="5">
        <v>6.612820146500086</v>
      </c>
      <c r="F229" s="5">
        <v>137.41191667440597</v>
      </c>
      <c r="G229" s="5">
        <v>161.73544147872059</v>
      </c>
      <c r="H229" s="5">
        <v>7.0067382920764665</v>
      </c>
      <c r="I229" s="5">
        <v>0.92960722947142327</v>
      </c>
      <c r="J229" s="5">
        <v>31.903615539411156</v>
      </c>
      <c r="K229" s="5">
        <v>78.201683718056586</v>
      </c>
      <c r="L229" s="5">
        <v>6.0480884077804058</v>
      </c>
      <c r="M229" s="5" t="b">
        <v>0</v>
      </c>
      <c r="N229" s="5" t="b">
        <v>0</v>
      </c>
      <c r="O229" s="5" t="b">
        <v>0</v>
      </c>
      <c r="P229" s="5" t="b">
        <v>1</v>
      </c>
      <c r="Q229" s="5" t="b">
        <v>0</v>
      </c>
      <c r="R229" s="5" t="b">
        <v>0</v>
      </c>
      <c r="S229" s="5" t="b">
        <v>0</v>
      </c>
      <c r="T229" s="5" t="b">
        <v>0</v>
      </c>
      <c r="U229" s="5" t="b">
        <v>0</v>
      </c>
      <c r="V229" s="5" t="b">
        <v>0</v>
      </c>
      <c r="W229" s="5" t="b">
        <v>0</v>
      </c>
      <c r="X229" s="5">
        <v>1</v>
      </c>
      <c r="Y229" s="5">
        <v>0</v>
      </c>
      <c r="Z229" s="5" t="b">
        <v>0</v>
      </c>
      <c r="AA229" s="5">
        <v>2.9608455</v>
      </c>
      <c r="AB229" s="5">
        <v>360.5786038104672</v>
      </c>
    </row>
    <row r="230" spans="2:28" x14ac:dyDescent="0.35">
      <c r="B230" s="5">
        <v>192</v>
      </c>
      <c r="C230" s="5">
        <v>218.56343564222863</v>
      </c>
      <c r="D230" s="5">
        <v>12.900330359977128</v>
      </c>
      <c r="E230" s="5">
        <v>7.9665894529637793</v>
      </c>
      <c r="F230" s="5">
        <v>138.56728186907745</v>
      </c>
      <c r="G230" s="5">
        <v>142.89055709884431</v>
      </c>
      <c r="H230" s="5">
        <v>29.165047537771464</v>
      </c>
      <c r="I230" s="5">
        <v>1.1732191573059412</v>
      </c>
      <c r="J230" s="5">
        <v>29.770626151981361</v>
      </c>
      <c r="K230" s="5">
        <v>64.162464024432865</v>
      </c>
      <c r="L230" s="5">
        <v>6.3319055941163587</v>
      </c>
      <c r="M230" s="5" t="b">
        <v>0</v>
      </c>
      <c r="N230" s="5" t="b">
        <v>0</v>
      </c>
      <c r="O230" s="5" t="b">
        <v>0</v>
      </c>
      <c r="P230" s="5" t="b">
        <v>0</v>
      </c>
      <c r="Q230" s="5" t="b">
        <v>1</v>
      </c>
      <c r="R230" s="5" t="b">
        <v>1</v>
      </c>
      <c r="S230" s="5" t="b">
        <v>0</v>
      </c>
      <c r="T230" s="5" t="b">
        <v>0</v>
      </c>
      <c r="U230" s="5" t="b">
        <v>0</v>
      </c>
      <c r="V230" s="5" t="b">
        <v>0</v>
      </c>
      <c r="W230" s="5" t="b">
        <v>0</v>
      </c>
      <c r="X230" s="5">
        <v>0</v>
      </c>
      <c r="Y230" s="5">
        <v>3</v>
      </c>
      <c r="Z230" s="5" t="b">
        <v>1</v>
      </c>
      <c r="AA230" s="5">
        <v>6.0074186000000003</v>
      </c>
      <c r="AB230" s="5">
        <v>362.74148204222865</v>
      </c>
    </row>
    <row r="231" spans="2:28" x14ac:dyDescent="0.35">
      <c r="B231" s="5">
        <v>213</v>
      </c>
      <c r="C231" s="5">
        <v>249.49311984421212</v>
      </c>
      <c r="D231" s="5">
        <v>10.31955997874757</v>
      </c>
      <c r="E231" s="5">
        <v>3.8433110863099058</v>
      </c>
      <c r="F231" s="5">
        <v>141.92005201946671</v>
      </c>
      <c r="G231" s="5">
        <v>167.51800403556527</v>
      </c>
      <c r="H231" s="5">
        <v>45.071639826620718</v>
      </c>
      <c r="I231" s="5">
        <v>1.3735610530186264</v>
      </c>
      <c r="J231" s="5">
        <v>28.96467255916718</v>
      </c>
      <c r="K231" s="5">
        <v>81.523409345137949</v>
      </c>
      <c r="L231" s="5">
        <v>6.9607708534264532</v>
      </c>
      <c r="M231" s="5" t="b">
        <v>0</v>
      </c>
      <c r="N231" s="5" t="b">
        <v>0</v>
      </c>
      <c r="O231" s="5" t="b">
        <v>0</v>
      </c>
      <c r="P231" s="5" t="b">
        <v>0</v>
      </c>
      <c r="Q231" s="5" t="b">
        <v>0</v>
      </c>
      <c r="R231" s="5" t="b">
        <v>0</v>
      </c>
      <c r="S231" s="5" t="b">
        <v>0</v>
      </c>
      <c r="T231" s="5" t="b">
        <v>0</v>
      </c>
      <c r="U231" s="5" t="b">
        <v>0</v>
      </c>
      <c r="V231" s="5" t="b">
        <v>0</v>
      </c>
      <c r="W231" s="5" t="b">
        <v>0</v>
      </c>
      <c r="X231" s="5">
        <v>0</v>
      </c>
      <c r="Y231" s="5">
        <v>1</v>
      </c>
      <c r="Z231" s="5" t="b">
        <v>0</v>
      </c>
      <c r="AA231" s="5">
        <v>4.7343489999999999</v>
      </c>
      <c r="AB231" s="5">
        <v>363.1174958442121</v>
      </c>
    </row>
    <row r="232" spans="2:28" x14ac:dyDescent="0.35">
      <c r="B232" s="5">
        <v>208</v>
      </c>
      <c r="C232" s="5">
        <v>244.61563755923521</v>
      </c>
      <c r="D232" s="5">
        <v>8.0978778748257856</v>
      </c>
      <c r="E232" s="5">
        <v>10.177478001597906</v>
      </c>
      <c r="F232" s="5">
        <v>142.16149246914478</v>
      </c>
      <c r="G232" s="5">
        <v>167.70040770113295</v>
      </c>
      <c r="H232" s="5">
        <v>17.210160086705578</v>
      </c>
      <c r="I232" s="5">
        <v>1.3118012518611197</v>
      </c>
      <c r="J232" s="5">
        <v>29.242429365659426</v>
      </c>
      <c r="K232" s="5">
        <v>89.168838363444038</v>
      </c>
      <c r="L232" s="5">
        <v>5.9206508937867888</v>
      </c>
      <c r="M232" s="5" t="b">
        <v>0</v>
      </c>
      <c r="N232" s="5" t="b">
        <v>0</v>
      </c>
      <c r="O232" s="5" t="b">
        <v>0</v>
      </c>
      <c r="P232" s="5" t="b">
        <v>0</v>
      </c>
      <c r="Q232" s="5" t="b">
        <v>0</v>
      </c>
      <c r="R232" s="5" t="b">
        <v>1</v>
      </c>
      <c r="S232" s="5" t="b">
        <v>0</v>
      </c>
      <c r="T232" s="5" t="b">
        <v>0</v>
      </c>
      <c r="U232" s="5" t="b">
        <v>0</v>
      </c>
      <c r="V232" s="5" t="b">
        <v>0</v>
      </c>
      <c r="W232" s="5" t="b">
        <v>0</v>
      </c>
      <c r="X232" s="5">
        <v>3</v>
      </c>
      <c r="Y232" s="5">
        <v>0</v>
      </c>
      <c r="Z232" s="5" t="b">
        <v>0</v>
      </c>
      <c r="AA232" s="5">
        <v>4.945875</v>
      </c>
      <c r="AB232" s="5">
        <v>363.31663755923523</v>
      </c>
    </row>
    <row r="233" spans="2:28" x14ac:dyDescent="0.35">
      <c r="B233" s="5">
        <v>200</v>
      </c>
      <c r="C233" s="5">
        <v>229.20339463033966</v>
      </c>
      <c r="D233" s="5">
        <v>9.9378121718608234</v>
      </c>
      <c r="E233" s="5">
        <v>1.6428948872380396</v>
      </c>
      <c r="F233" s="5">
        <v>133.43584086174565</v>
      </c>
      <c r="G233" s="5">
        <v>192.2323315244831</v>
      </c>
      <c r="H233" s="5">
        <v>13.944563528430038</v>
      </c>
      <c r="I233" s="5">
        <v>1.2639705214721091</v>
      </c>
      <c r="J233" s="5">
        <v>30.295738475794188</v>
      </c>
      <c r="K233" s="5">
        <v>59.982353554800511</v>
      </c>
      <c r="L233" s="5">
        <v>6.3366008519704113</v>
      </c>
      <c r="M233" s="5" t="b">
        <v>0</v>
      </c>
      <c r="N233" s="5" t="b">
        <v>0</v>
      </c>
      <c r="O233" s="5" t="b">
        <v>0</v>
      </c>
      <c r="P233" s="5" t="b">
        <v>0</v>
      </c>
      <c r="Q233" s="5" t="b">
        <v>0</v>
      </c>
      <c r="R233" s="5" t="b">
        <v>0</v>
      </c>
      <c r="S233" s="5" t="b">
        <v>0</v>
      </c>
      <c r="T233" s="5" t="b">
        <v>0</v>
      </c>
      <c r="U233" s="5" t="b">
        <v>0</v>
      </c>
      <c r="V233" s="5" t="b">
        <v>0</v>
      </c>
      <c r="W233" s="5" t="b">
        <v>0</v>
      </c>
      <c r="X233" s="5">
        <v>1</v>
      </c>
      <c r="Y233" s="5">
        <v>1</v>
      </c>
      <c r="Z233" s="5" t="b">
        <v>1</v>
      </c>
      <c r="AA233" s="5">
        <v>5.589289</v>
      </c>
      <c r="AB233" s="5">
        <v>363.34633063033965</v>
      </c>
    </row>
    <row r="234" spans="2:28" x14ac:dyDescent="0.35">
      <c r="B234" s="5">
        <v>242</v>
      </c>
      <c r="C234" s="5">
        <v>284.27264371110107</v>
      </c>
      <c r="D234" s="5">
        <v>14.068285129303272</v>
      </c>
      <c r="E234" s="5">
        <v>10.042706657946868</v>
      </c>
      <c r="F234" s="5">
        <v>134.21608132230938</v>
      </c>
      <c r="G234" s="5">
        <v>174.2465059123744</v>
      </c>
      <c r="H234" s="5">
        <v>14.032124884698243</v>
      </c>
      <c r="I234" s="5">
        <v>1.1002149177754172</v>
      </c>
      <c r="J234" s="5">
        <v>29.607227677769099</v>
      </c>
      <c r="K234" s="5">
        <v>54.149340476870933</v>
      </c>
      <c r="L234" s="5">
        <v>6.7787383056550681</v>
      </c>
      <c r="M234" s="5" t="b">
        <v>0</v>
      </c>
      <c r="N234" s="5" t="b">
        <v>0</v>
      </c>
      <c r="O234" s="5" t="b">
        <v>0</v>
      </c>
      <c r="P234" s="5" t="b">
        <v>0</v>
      </c>
      <c r="Q234" s="5" t="b">
        <v>0</v>
      </c>
      <c r="R234" s="5" t="b">
        <v>0</v>
      </c>
      <c r="S234" s="5" t="b">
        <v>0</v>
      </c>
      <c r="T234" s="5" t="b">
        <v>0</v>
      </c>
      <c r="U234" s="5" t="b">
        <v>0</v>
      </c>
      <c r="V234" s="5" t="b">
        <v>0</v>
      </c>
      <c r="W234" s="5" t="b">
        <v>0</v>
      </c>
      <c r="X234" s="5">
        <v>1</v>
      </c>
      <c r="Y234" s="5">
        <v>1</v>
      </c>
      <c r="Z234" s="5" t="b">
        <v>1</v>
      </c>
      <c r="AA234" s="5">
        <v>3.4349097999999998</v>
      </c>
      <c r="AB234" s="5">
        <v>366.71047891110106</v>
      </c>
    </row>
    <row r="235" spans="2:28" x14ac:dyDescent="0.35">
      <c r="B235" s="5">
        <v>216</v>
      </c>
      <c r="C235" s="5">
        <v>254.45181413631883</v>
      </c>
      <c r="D235" s="5">
        <v>12.504907745378768</v>
      </c>
      <c r="E235" s="5">
        <v>13.621130904294183</v>
      </c>
      <c r="F235" s="5">
        <v>132.4841086189183</v>
      </c>
      <c r="G235" s="5">
        <v>157.33917485341266</v>
      </c>
      <c r="H235" s="5">
        <v>12.554902349170238</v>
      </c>
      <c r="I235" s="5">
        <v>1.0746353762684038</v>
      </c>
      <c r="J235" s="5">
        <v>32.271993205009032</v>
      </c>
      <c r="K235" s="5">
        <v>92.819979722742332</v>
      </c>
      <c r="L235" s="5">
        <v>5.9959059181807559</v>
      </c>
      <c r="M235" s="5" t="b">
        <v>0</v>
      </c>
      <c r="N235" s="5" t="b">
        <v>0</v>
      </c>
      <c r="O235" s="5" t="b">
        <v>0</v>
      </c>
      <c r="P235" s="5" t="b">
        <v>0</v>
      </c>
      <c r="Q235" s="5" t="b">
        <v>0</v>
      </c>
      <c r="R235" s="5" t="b">
        <v>1</v>
      </c>
      <c r="S235" s="5" t="b">
        <v>0</v>
      </c>
      <c r="T235" s="5" t="b">
        <v>0</v>
      </c>
      <c r="U235" s="5" t="b">
        <v>0</v>
      </c>
      <c r="V235" s="5" t="b">
        <v>0</v>
      </c>
      <c r="W235" s="5" t="b">
        <v>0</v>
      </c>
      <c r="X235" s="5">
        <v>2</v>
      </c>
      <c r="Y235" s="5">
        <v>0</v>
      </c>
      <c r="Z235" s="5" t="b">
        <v>1</v>
      </c>
      <c r="AA235" s="5">
        <v>4.6804449999999997</v>
      </c>
      <c r="AB235" s="5">
        <v>366.7824941363188</v>
      </c>
    </row>
    <row r="236" spans="2:28" x14ac:dyDescent="0.35">
      <c r="B236" s="5">
        <v>220</v>
      </c>
      <c r="C236" s="5">
        <v>256.66281480888824</v>
      </c>
      <c r="D236" s="5">
        <v>14.197865188143906</v>
      </c>
      <c r="E236" s="5">
        <v>5.2004402531030927</v>
      </c>
      <c r="F236" s="5">
        <v>135.71340300347342</v>
      </c>
      <c r="G236" s="5">
        <v>80.812894081343643</v>
      </c>
      <c r="H236" s="5">
        <v>26.259488851697768</v>
      </c>
      <c r="I236" s="5">
        <v>1.1204685108238468</v>
      </c>
      <c r="J236" s="5">
        <v>26.84137196335282</v>
      </c>
      <c r="K236" s="5">
        <v>54.769494866948456</v>
      </c>
      <c r="L236" s="5">
        <v>6.7456291321612651</v>
      </c>
      <c r="M236" s="5" t="b">
        <v>0</v>
      </c>
      <c r="N236" s="5" t="b">
        <v>0</v>
      </c>
      <c r="O236" s="5" t="b">
        <v>0</v>
      </c>
      <c r="P236" s="5" t="b">
        <v>0</v>
      </c>
      <c r="Q236" s="5" t="b">
        <v>0</v>
      </c>
      <c r="R236" s="5" t="b">
        <v>1</v>
      </c>
      <c r="S236" s="5" t="b">
        <v>0</v>
      </c>
      <c r="T236" s="5" t="b">
        <v>0</v>
      </c>
      <c r="U236" s="5" t="b">
        <v>0</v>
      </c>
      <c r="V236" s="5" t="b">
        <v>0</v>
      </c>
      <c r="W236" s="5" t="b">
        <v>0</v>
      </c>
      <c r="X236" s="5">
        <v>1</v>
      </c>
      <c r="Y236" s="5">
        <v>0</v>
      </c>
      <c r="Z236" s="5" t="b">
        <v>0</v>
      </c>
      <c r="AA236" s="5">
        <v>4.6355294999999996</v>
      </c>
      <c r="AB236" s="5">
        <v>367.91552280888823</v>
      </c>
    </row>
    <row r="237" spans="2:28" x14ac:dyDescent="0.35">
      <c r="B237" s="5">
        <v>217</v>
      </c>
      <c r="C237" s="5">
        <v>255.10963676694354</v>
      </c>
      <c r="D237" s="5">
        <v>12.575447902022693</v>
      </c>
      <c r="E237" s="5">
        <v>7.3012413522624993</v>
      </c>
      <c r="F237" s="5">
        <v>134.14118844677779</v>
      </c>
      <c r="G237" s="5">
        <v>122.57755859496636</v>
      </c>
      <c r="H237" s="5">
        <v>18.010949790170336</v>
      </c>
      <c r="I237" s="5">
        <v>1.0713789641660598</v>
      </c>
      <c r="J237" s="5">
        <v>28.578201506083349</v>
      </c>
      <c r="K237" s="5">
        <v>49.752602724549646</v>
      </c>
      <c r="L237" s="5">
        <v>6.5809165555069411</v>
      </c>
      <c r="M237" s="5" t="b">
        <v>0</v>
      </c>
      <c r="N237" s="5" t="b">
        <v>0</v>
      </c>
      <c r="O237" s="5" t="b">
        <v>0</v>
      </c>
      <c r="P237" s="5" t="b">
        <v>0</v>
      </c>
      <c r="Q237" s="5" t="b">
        <v>0</v>
      </c>
      <c r="R237" s="5" t="b">
        <v>0</v>
      </c>
      <c r="S237" s="5" t="b">
        <v>0</v>
      </c>
      <c r="T237" s="5" t="b">
        <v>0</v>
      </c>
      <c r="U237" s="5" t="b">
        <v>0</v>
      </c>
      <c r="V237" s="5" t="b">
        <v>0</v>
      </c>
      <c r="W237" s="5" t="b">
        <v>0</v>
      </c>
      <c r="X237" s="5">
        <v>2</v>
      </c>
      <c r="Y237" s="5">
        <v>2</v>
      </c>
      <c r="Z237" s="5" t="b">
        <v>1</v>
      </c>
      <c r="AA237" s="5">
        <v>4.7621435999999999</v>
      </c>
      <c r="AB237" s="5">
        <v>369.40108316694352</v>
      </c>
    </row>
    <row r="238" spans="2:28" x14ac:dyDescent="0.35">
      <c r="B238" s="5">
        <v>177</v>
      </c>
      <c r="C238" s="5">
        <v>195.77600521504212</v>
      </c>
      <c r="D238" s="5">
        <v>14.184619711530781</v>
      </c>
      <c r="E238" s="5">
        <v>15.210929518494465</v>
      </c>
      <c r="F238" s="5">
        <v>137.10994627326738</v>
      </c>
      <c r="G238" s="5">
        <v>176.07018877930088</v>
      </c>
      <c r="H238" s="5">
        <v>17.190657488540555</v>
      </c>
      <c r="I238" s="5">
        <v>0.80911770830484397</v>
      </c>
      <c r="J238" s="5">
        <v>31.665905097616587</v>
      </c>
      <c r="K238" s="5">
        <v>47.995352312566503</v>
      </c>
      <c r="L238" s="5">
        <v>5.7530114355277453</v>
      </c>
      <c r="M238" s="5" t="b">
        <v>0</v>
      </c>
      <c r="N238" s="5" t="b">
        <v>0</v>
      </c>
      <c r="O238" s="5" t="b">
        <v>0</v>
      </c>
      <c r="P238" s="5" t="b">
        <v>0</v>
      </c>
      <c r="Q238" s="5" t="b">
        <v>0</v>
      </c>
      <c r="R238" s="5" t="b">
        <v>0</v>
      </c>
      <c r="S238" s="5" t="b">
        <v>0</v>
      </c>
      <c r="T238" s="5" t="b">
        <v>0</v>
      </c>
      <c r="U238" s="5" t="b">
        <v>0</v>
      </c>
      <c r="V238" s="5" t="b">
        <v>0</v>
      </c>
      <c r="W238" s="5" t="b">
        <v>0</v>
      </c>
      <c r="X238" s="5">
        <v>1</v>
      </c>
      <c r="Y238" s="5">
        <v>2</v>
      </c>
      <c r="Z238" s="5" t="b">
        <v>0</v>
      </c>
      <c r="AA238" s="5">
        <v>7.4396667000000001</v>
      </c>
      <c r="AB238" s="5">
        <v>374.32800601504209</v>
      </c>
    </row>
    <row r="239" spans="2:28" x14ac:dyDescent="0.35">
      <c r="B239" s="5">
        <v>256</v>
      </c>
      <c r="C239" s="5">
        <v>304.98664059146716</v>
      </c>
      <c r="D239" s="5">
        <v>12.440637094566263</v>
      </c>
      <c r="E239" s="5">
        <v>11.460171599926483</v>
      </c>
      <c r="F239" s="5">
        <v>138.22846127880092</v>
      </c>
      <c r="G239" s="5">
        <v>172.2266033829593</v>
      </c>
      <c r="H239" s="5">
        <v>31.956718777234578</v>
      </c>
      <c r="I239" s="5">
        <v>1.2993644536408218</v>
      </c>
      <c r="J239" s="5">
        <v>31.753067709704233</v>
      </c>
      <c r="K239" s="5">
        <v>83.405619567500423</v>
      </c>
      <c r="L239" s="5">
        <v>7.0428435997545078</v>
      </c>
      <c r="M239" s="5" t="b">
        <v>0</v>
      </c>
      <c r="N239" s="5" t="b">
        <v>0</v>
      </c>
      <c r="O239" s="5" t="b">
        <v>0</v>
      </c>
      <c r="P239" s="5" t="b">
        <v>0</v>
      </c>
      <c r="Q239" s="5" t="b">
        <v>0</v>
      </c>
      <c r="R239" s="5" t="b">
        <v>1</v>
      </c>
      <c r="S239" s="5" t="b">
        <v>0</v>
      </c>
      <c r="T239" s="5" t="b">
        <v>0</v>
      </c>
      <c r="U239" s="5" t="b">
        <v>0</v>
      </c>
      <c r="V239" s="5" t="b">
        <v>0</v>
      </c>
      <c r="W239" s="5" t="b">
        <v>0</v>
      </c>
      <c r="X239" s="5">
        <v>0</v>
      </c>
      <c r="Y239" s="5">
        <v>0</v>
      </c>
      <c r="Z239" s="5" t="b">
        <v>0</v>
      </c>
      <c r="AA239" s="5">
        <v>2.9322686</v>
      </c>
      <c r="AB239" s="5">
        <v>375.36108699146718</v>
      </c>
    </row>
    <row r="240" spans="2:28" x14ac:dyDescent="0.35">
      <c r="B240" s="5">
        <v>227</v>
      </c>
      <c r="C240" s="5">
        <v>261.0996208605207</v>
      </c>
      <c r="D240" s="5">
        <v>13.546662598658582</v>
      </c>
      <c r="E240" s="5">
        <v>17.16301112022289</v>
      </c>
      <c r="F240" s="5">
        <v>139.27029065567254</v>
      </c>
      <c r="G240" s="5">
        <v>108.05293194881207</v>
      </c>
      <c r="H240" s="5">
        <v>6.6018678501863217</v>
      </c>
      <c r="I240" s="5">
        <v>0.89043377849196781</v>
      </c>
      <c r="J240" s="5">
        <v>27.329757702984583</v>
      </c>
      <c r="K240" s="5">
        <v>83.10610020969375</v>
      </c>
      <c r="L240" s="5">
        <v>6.7641603661761591</v>
      </c>
      <c r="M240" s="5" t="b">
        <v>0</v>
      </c>
      <c r="N240" s="5" t="b">
        <v>0</v>
      </c>
      <c r="O240" s="5" t="b">
        <v>0</v>
      </c>
      <c r="P240" s="5" t="b">
        <v>0</v>
      </c>
      <c r="Q240" s="5" t="b">
        <v>0</v>
      </c>
      <c r="R240" s="5" t="b">
        <v>1</v>
      </c>
      <c r="S240" s="5" t="b">
        <v>0</v>
      </c>
      <c r="T240" s="5" t="b">
        <v>0</v>
      </c>
      <c r="U240" s="5" t="b">
        <v>0</v>
      </c>
      <c r="V240" s="5" t="b">
        <v>0</v>
      </c>
      <c r="W240" s="5" t="b">
        <v>0</v>
      </c>
      <c r="X240" s="5">
        <v>1</v>
      </c>
      <c r="Y240" s="5">
        <v>1</v>
      </c>
      <c r="Z240" s="5" t="b">
        <v>1</v>
      </c>
      <c r="AA240" s="5">
        <v>4.7862739999999997</v>
      </c>
      <c r="AB240" s="5">
        <v>375.97019686052067</v>
      </c>
    </row>
    <row r="241" spans="2:28" x14ac:dyDescent="0.35">
      <c r="B241" s="5">
        <v>176</v>
      </c>
      <c r="C241" s="5">
        <v>193.85597723532311</v>
      </c>
      <c r="D241" s="5">
        <v>11.978632564195243</v>
      </c>
      <c r="E241" s="5">
        <v>8.0138868082090919</v>
      </c>
      <c r="F241" s="5">
        <v>136.36489402727588</v>
      </c>
      <c r="G241" s="5">
        <v>179.53006477002134</v>
      </c>
      <c r="H241" s="5">
        <v>12.764925362939188</v>
      </c>
      <c r="I241" s="5">
        <v>1.0103542921887327</v>
      </c>
      <c r="J241" s="5">
        <v>26.991290891556336</v>
      </c>
      <c r="K241" s="5">
        <v>80.2647787623836</v>
      </c>
      <c r="L241" s="5">
        <v>5.5762050208431608</v>
      </c>
      <c r="M241" s="5" t="b">
        <v>0</v>
      </c>
      <c r="N241" s="5" t="b">
        <v>0</v>
      </c>
      <c r="O241" s="5" t="b">
        <v>1</v>
      </c>
      <c r="P241" s="5" t="b">
        <v>0</v>
      </c>
      <c r="Q241" s="5" t="b">
        <v>0</v>
      </c>
      <c r="R241" s="5" t="b">
        <v>0</v>
      </c>
      <c r="S241" s="5" t="b">
        <v>0</v>
      </c>
      <c r="T241" s="5" t="b">
        <v>0</v>
      </c>
      <c r="U241" s="5" t="b">
        <v>0</v>
      </c>
      <c r="V241" s="5" t="b">
        <v>0</v>
      </c>
      <c r="W241" s="5" t="b">
        <v>0</v>
      </c>
      <c r="X241" s="5">
        <v>2</v>
      </c>
      <c r="Y241" s="5">
        <v>3</v>
      </c>
      <c r="Z241" s="5" t="b">
        <v>0</v>
      </c>
      <c r="AA241" s="5">
        <v>7.6409339999999997</v>
      </c>
      <c r="AB241" s="5">
        <v>377.23839323532309</v>
      </c>
    </row>
    <row r="242" spans="2:28" x14ac:dyDescent="0.35">
      <c r="B242" s="5">
        <v>239</v>
      </c>
      <c r="C242" s="5">
        <v>282.70891892972628</v>
      </c>
      <c r="D242" s="5">
        <v>11.13499739313613</v>
      </c>
      <c r="E242" s="5">
        <v>10.557112155800455</v>
      </c>
      <c r="F242" s="5">
        <v>134.70258891483221</v>
      </c>
      <c r="G242" s="5">
        <v>145.48023661431517</v>
      </c>
      <c r="H242" s="5">
        <v>12.196200554138215</v>
      </c>
      <c r="I242" s="5">
        <v>1.1184332847452456</v>
      </c>
      <c r="J242" s="5">
        <v>29.521252197552133</v>
      </c>
      <c r="K242" s="5">
        <v>59.47520830923574</v>
      </c>
      <c r="L242" s="5">
        <v>6.010238470787824</v>
      </c>
      <c r="M242" s="5" t="b">
        <v>1</v>
      </c>
      <c r="N242" s="5" t="b">
        <v>0</v>
      </c>
      <c r="O242" s="5" t="b">
        <v>0</v>
      </c>
      <c r="P242" s="5" t="b">
        <v>0</v>
      </c>
      <c r="Q242" s="5" t="b">
        <v>1</v>
      </c>
      <c r="R242" s="5" t="b">
        <v>0</v>
      </c>
      <c r="S242" s="5" t="b">
        <v>0</v>
      </c>
      <c r="T242" s="5" t="b">
        <v>0</v>
      </c>
      <c r="U242" s="5" t="b">
        <v>0</v>
      </c>
      <c r="V242" s="5" t="b">
        <v>0</v>
      </c>
      <c r="W242" s="5" t="b">
        <v>0</v>
      </c>
      <c r="X242" s="5">
        <v>2</v>
      </c>
      <c r="Y242" s="5">
        <v>1</v>
      </c>
      <c r="Z242" s="5" t="b">
        <v>1</v>
      </c>
      <c r="AA242" s="5">
        <v>4.0485360000000004</v>
      </c>
      <c r="AB242" s="5">
        <v>379.8737829297263</v>
      </c>
    </row>
    <row r="243" spans="2:28" x14ac:dyDescent="0.35">
      <c r="B243" s="5">
        <v>252</v>
      </c>
      <c r="C243" s="5">
        <v>298.33101794563697</v>
      </c>
      <c r="D243" s="5">
        <v>11.972581208249354</v>
      </c>
      <c r="E243" s="5">
        <v>18.737642059547824</v>
      </c>
      <c r="F243" s="5">
        <v>141.36032193836567</v>
      </c>
      <c r="G243" s="5">
        <v>88.178789224932842</v>
      </c>
      <c r="H243" s="5">
        <v>44.391692618861875</v>
      </c>
      <c r="I243" s="5">
        <v>1.0508067729451642</v>
      </c>
      <c r="J243" s="5">
        <v>30.523386555532444</v>
      </c>
      <c r="K243" s="5">
        <v>52.014068388430317</v>
      </c>
      <c r="L243" s="5">
        <v>7.1508598632836602</v>
      </c>
      <c r="M243" s="5" t="b">
        <v>0</v>
      </c>
      <c r="N243" s="5" t="b">
        <v>0</v>
      </c>
      <c r="O243" s="5" t="b">
        <v>0</v>
      </c>
      <c r="P243" s="5" t="b">
        <v>0</v>
      </c>
      <c r="Q243" s="5" t="b">
        <v>0</v>
      </c>
      <c r="R243" s="5" t="b">
        <v>0</v>
      </c>
      <c r="S243" s="5" t="b">
        <v>0</v>
      </c>
      <c r="T243" s="5" t="b">
        <v>0</v>
      </c>
      <c r="U243" s="5" t="b">
        <v>0</v>
      </c>
      <c r="V243" s="5" t="b">
        <v>0</v>
      </c>
      <c r="W243" s="5" t="b">
        <v>0</v>
      </c>
      <c r="X243" s="5">
        <v>1</v>
      </c>
      <c r="Y243" s="5">
        <v>0</v>
      </c>
      <c r="Z243" s="5" t="b">
        <v>1</v>
      </c>
      <c r="AA243" s="5">
        <v>3.4465944999999998</v>
      </c>
      <c r="AB243" s="5">
        <v>381.04928594563694</v>
      </c>
    </row>
    <row r="244" spans="2:28" x14ac:dyDescent="0.35">
      <c r="B244" s="5">
        <v>209</v>
      </c>
      <c r="C244" s="5">
        <v>247.04298748253768</v>
      </c>
      <c r="D244" s="5">
        <v>13.118424770417377</v>
      </c>
      <c r="E244" s="5">
        <v>18.601255295085025</v>
      </c>
      <c r="F244" s="5">
        <v>134.30666724802049</v>
      </c>
      <c r="G244" s="5">
        <v>97.130724115287947</v>
      </c>
      <c r="H244" s="5">
        <v>16.010409023615679</v>
      </c>
      <c r="I244" s="5">
        <v>1.0325534486758314</v>
      </c>
      <c r="J244" s="5">
        <v>32.580558071820285</v>
      </c>
      <c r="K244" s="5">
        <v>74.674437195610096</v>
      </c>
      <c r="L244" s="5">
        <v>6.8349399703794154</v>
      </c>
      <c r="M244" s="5" t="b">
        <v>0</v>
      </c>
      <c r="N244" s="5" t="b">
        <v>0</v>
      </c>
      <c r="O244" s="5" t="b">
        <v>0</v>
      </c>
      <c r="P244" s="5" t="b">
        <v>0</v>
      </c>
      <c r="Q244" s="5" t="b">
        <v>0</v>
      </c>
      <c r="R244" s="5" t="b">
        <v>1</v>
      </c>
      <c r="S244" s="5" t="b">
        <v>0</v>
      </c>
      <c r="T244" s="5" t="b">
        <v>0</v>
      </c>
      <c r="U244" s="5" t="b">
        <v>0</v>
      </c>
      <c r="V244" s="5" t="b">
        <v>0</v>
      </c>
      <c r="W244" s="5" t="b">
        <v>0</v>
      </c>
      <c r="X244" s="5">
        <v>1</v>
      </c>
      <c r="Y244" s="5">
        <v>1</v>
      </c>
      <c r="Z244" s="5" t="b">
        <v>0</v>
      </c>
      <c r="AA244" s="5">
        <v>5.6102476000000001</v>
      </c>
      <c r="AB244" s="5">
        <v>381.68892988253765</v>
      </c>
    </row>
    <row r="245" spans="2:28" x14ac:dyDescent="0.35">
      <c r="B245" s="5">
        <v>280</v>
      </c>
      <c r="C245" s="5">
        <v>341.12741133361476</v>
      </c>
      <c r="D245" s="5">
        <v>11.48011225364176</v>
      </c>
      <c r="E245" s="5">
        <v>18.486174255974092</v>
      </c>
      <c r="F245" s="5">
        <v>137.93840241994056</v>
      </c>
      <c r="G245" s="5">
        <v>195.99753732730929</v>
      </c>
      <c r="H245" s="5">
        <v>13.469160974182383</v>
      </c>
      <c r="I245" s="5">
        <v>1.2071308098383469</v>
      </c>
      <c r="J245" s="5">
        <v>30.678051799859478</v>
      </c>
      <c r="K245" s="5">
        <v>67.189583460467247</v>
      </c>
      <c r="L245" s="5">
        <v>6.79095740119228</v>
      </c>
      <c r="M245" s="5" t="b">
        <v>0</v>
      </c>
      <c r="N245" s="5" t="b">
        <v>0</v>
      </c>
      <c r="O245" s="5" t="b">
        <v>0</v>
      </c>
      <c r="P245" s="5" t="b">
        <v>0</v>
      </c>
      <c r="Q245" s="5" t="b">
        <v>0</v>
      </c>
      <c r="R245" s="5" t="b">
        <v>0</v>
      </c>
      <c r="S245" s="5" t="b">
        <v>0</v>
      </c>
      <c r="T245" s="5" t="b">
        <v>0</v>
      </c>
      <c r="U245" s="5" t="b">
        <v>0</v>
      </c>
      <c r="V245" s="5" t="b">
        <v>0</v>
      </c>
      <c r="W245" s="5" t="b">
        <v>0</v>
      </c>
      <c r="X245" s="5">
        <v>2</v>
      </c>
      <c r="Y245" s="5">
        <v>0</v>
      </c>
      <c r="Z245" s="5" t="b">
        <v>0</v>
      </c>
      <c r="AA245" s="5">
        <v>1.7112087000000002</v>
      </c>
      <c r="AB245" s="5">
        <v>382.19642013361477</v>
      </c>
    </row>
    <row r="246" spans="2:28" x14ac:dyDescent="0.35">
      <c r="B246" s="5">
        <v>281</v>
      </c>
      <c r="C246" s="5">
        <v>342.33715998256156</v>
      </c>
      <c r="D246" s="5">
        <v>12.212791432294532</v>
      </c>
      <c r="E246" s="5">
        <v>13.26459934619513</v>
      </c>
      <c r="F246" s="5">
        <v>132.12614039167582</v>
      </c>
      <c r="G246" s="5">
        <v>115.16521638299884</v>
      </c>
      <c r="H246" s="5">
        <v>27.006650216680249</v>
      </c>
      <c r="I246" s="5">
        <v>0.89783327112879052</v>
      </c>
      <c r="J246" s="5">
        <v>31.896469885653037</v>
      </c>
      <c r="K246" s="5">
        <v>80.398858142464974</v>
      </c>
      <c r="L246" s="5">
        <v>6.5865303497618983</v>
      </c>
      <c r="M246" s="5" t="b">
        <v>0</v>
      </c>
      <c r="N246" s="5" t="b">
        <v>0</v>
      </c>
      <c r="O246" s="5" t="b">
        <v>0</v>
      </c>
      <c r="P246" s="5" t="b">
        <v>0</v>
      </c>
      <c r="Q246" s="5" t="b">
        <v>0</v>
      </c>
      <c r="R246" s="5" t="b">
        <v>0</v>
      </c>
      <c r="S246" s="5" t="b">
        <v>0</v>
      </c>
      <c r="T246" s="5" t="b">
        <v>0</v>
      </c>
      <c r="U246" s="5" t="b">
        <v>0</v>
      </c>
      <c r="V246" s="5" t="b">
        <v>0</v>
      </c>
      <c r="W246" s="5" t="b">
        <v>0</v>
      </c>
      <c r="X246" s="5">
        <v>1</v>
      </c>
      <c r="Y246" s="5">
        <v>1</v>
      </c>
      <c r="Z246" s="5" t="b">
        <v>1</v>
      </c>
      <c r="AA246" s="5">
        <v>1.8568037999999998</v>
      </c>
      <c r="AB246" s="5">
        <v>386.90045118256154</v>
      </c>
    </row>
    <row r="247" spans="2:28" x14ac:dyDescent="0.35">
      <c r="B247" s="5">
        <v>265</v>
      </c>
      <c r="C247" s="5">
        <v>319.49145772793986</v>
      </c>
      <c r="D247" s="5">
        <v>12.824326026109199</v>
      </c>
      <c r="E247" s="5">
        <v>14.725649940054581</v>
      </c>
      <c r="F247" s="5">
        <v>135.5974727488547</v>
      </c>
      <c r="G247" s="5">
        <v>129.66508649179704</v>
      </c>
      <c r="H247" s="5">
        <v>3.3360421848861339</v>
      </c>
      <c r="I247" s="5">
        <v>1.236010105758641</v>
      </c>
      <c r="J247" s="5">
        <v>33.018263484898505</v>
      </c>
      <c r="K247" s="5">
        <v>75.733101285861295</v>
      </c>
      <c r="L247" s="5">
        <v>6.062729325246428</v>
      </c>
      <c r="M247" s="5" t="b">
        <v>0</v>
      </c>
      <c r="N247" s="5" t="b">
        <v>0</v>
      </c>
      <c r="O247" s="5" t="b">
        <v>0</v>
      </c>
      <c r="P247" s="5" t="b">
        <v>1</v>
      </c>
      <c r="Q247" s="5" t="b">
        <v>0</v>
      </c>
      <c r="R247" s="5" t="b">
        <v>0</v>
      </c>
      <c r="S247" s="5" t="b">
        <v>0</v>
      </c>
      <c r="T247" s="5" t="b">
        <v>1</v>
      </c>
      <c r="U247" s="5" t="b">
        <v>0</v>
      </c>
      <c r="V247" s="5" t="b">
        <v>0</v>
      </c>
      <c r="W247" s="5" t="b">
        <v>0</v>
      </c>
      <c r="X247" s="5">
        <v>0</v>
      </c>
      <c r="Y247" s="5">
        <v>0</v>
      </c>
      <c r="Z247" s="5" t="b">
        <v>0</v>
      </c>
      <c r="AA247" s="5">
        <v>2.9567190000000001</v>
      </c>
      <c r="AB247" s="5">
        <v>390.45271372793985</v>
      </c>
    </row>
    <row r="248" spans="2:28" x14ac:dyDescent="0.35">
      <c r="B248" s="5">
        <v>226</v>
      </c>
      <c r="C248" s="5">
        <v>260.68050418884968</v>
      </c>
      <c r="D248" s="5">
        <v>12.621438029333243</v>
      </c>
      <c r="E248" s="5">
        <v>3.2882950894258203</v>
      </c>
      <c r="F248" s="5">
        <v>138.47752831993509</v>
      </c>
      <c r="G248" s="5">
        <v>109.59538814719012</v>
      </c>
      <c r="H248" s="5">
        <v>7.2400157715645319</v>
      </c>
      <c r="I248" s="5">
        <v>1.4374042368299274</v>
      </c>
      <c r="J248" s="5">
        <v>26.361131788697644</v>
      </c>
      <c r="K248" s="5">
        <v>76.158784145209381</v>
      </c>
      <c r="L248" s="5">
        <v>6.8295401356228576</v>
      </c>
      <c r="M248" s="5" t="b">
        <v>0</v>
      </c>
      <c r="N248" s="5" t="b">
        <v>0</v>
      </c>
      <c r="O248" s="5" t="b">
        <v>0</v>
      </c>
      <c r="P248" s="5" t="b">
        <v>0</v>
      </c>
      <c r="Q248" s="5" t="b">
        <v>0</v>
      </c>
      <c r="R248" s="5" t="b">
        <v>1</v>
      </c>
      <c r="S248" s="5" t="b">
        <v>0</v>
      </c>
      <c r="T248" s="5" t="b">
        <v>0</v>
      </c>
      <c r="U248" s="5" t="b">
        <v>0</v>
      </c>
      <c r="V248" s="5" t="b">
        <v>0</v>
      </c>
      <c r="W248" s="5" t="b">
        <v>0</v>
      </c>
      <c r="X248" s="5">
        <v>2</v>
      </c>
      <c r="Y248" s="5">
        <v>1</v>
      </c>
      <c r="Z248" s="5" t="b">
        <v>0</v>
      </c>
      <c r="AA248" s="5">
        <v>5.4258803999999996</v>
      </c>
      <c r="AB248" s="5">
        <v>390.90163378884967</v>
      </c>
    </row>
    <row r="249" spans="2:28" x14ac:dyDescent="0.35">
      <c r="B249" s="5">
        <v>284</v>
      </c>
      <c r="C249" s="5">
        <v>344.39682491809447</v>
      </c>
      <c r="D249" s="5">
        <v>12.182112730813202</v>
      </c>
      <c r="E249" s="5">
        <v>9.933358136170769</v>
      </c>
      <c r="F249" s="5">
        <v>134.5835361909929</v>
      </c>
      <c r="G249" s="5">
        <v>112.72347060555182</v>
      </c>
      <c r="H249" s="5">
        <v>18.697423893560348</v>
      </c>
      <c r="I249" s="5">
        <v>1.0730343595847296</v>
      </c>
      <c r="J249" s="5">
        <v>30.665274668466363</v>
      </c>
      <c r="K249" s="5">
        <v>77.096422420926459</v>
      </c>
      <c r="L249" s="5">
        <v>6.8797982516693343</v>
      </c>
      <c r="M249" s="5" t="b">
        <v>0</v>
      </c>
      <c r="N249" s="5" t="b">
        <v>0</v>
      </c>
      <c r="O249" s="5" t="b">
        <v>0</v>
      </c>
      <c r="P249" s="5" t="b">
        <v>0</v>
      </c>
      <c r="Q249" s="5" t="b">
        <v>0</v>
      </c>
      <c r="R249" s="5" t="b">
        <v>0</v>
      </c>
      <c r="S249" s="5" t="b">
        <v>0</v>
      </c>
      <c r="T249" s="5" t="b">
        <v>0</v>
      </c>
      <c r="U249" s="5" t="b">
        <v>0</v>
      </c>
      <c r="V249" s="5" t="b">
        <v>0</v>
      </c>
      <c r="W249" s="5" t="b">
        <v>0</v>
      </c>
      <c r="X249" s="5">
        <v>0</v>
      </c>
      <c r="Y249" s="5">
        <v>1</v>
      </c>
      <c r="Z249" s="5" t="b">
        <v>1</v>
      </c>
      <c r="AA249" s="5">
        <v>1.9908326000000001</v>
      </c>
      <c r="AB249" s="5">
        <v>392.17680731809446</v>
      </c>
    </row>
    <row r="250" spans="2:28" x14ac:dyDescent="0.35">
      <c r="B250" s="5">
        <v>230</v>
      </c>
      <c r="C250" s="5">
        <v>264.80853759461399</v>
      </c>
      <c r="D250" s="5">
        <v>12.357726050690903</v>
      </c>
      <c r="E250" s="5">
        <v>9.9162387900374735</v>
      </c>
      <c r="F250" s="5">
        <v>139.15816021245001</v>
      </c>
      <c r="G250" s="5">
        <v>88.103169136367882</v>
      </c>
      <c r="H250" s="5">
        <v>31.520595595318653</v>
      </c>
      <c r="I250" s="5">
        <v>1.1653597577611128</v>
      </c>
      <c r="J250" s="5">
        <v>33.524086507869541</v>
      </c>
      <c r="K250" s="5">
        <v>58.521608045895249</v>
      </c>
      <c r="L250" s="5">
        <v>6.2620243633585169</v>
      </c>
      <c r="M250" s="5" t="b">
        <v>0</v>
      </c>
      <c r="N250" s="5" t="b">
        <v>0</v>
      </c>
      <c r="O250" s="5" t="b">
        <v>0</v>
      </c>
      <c r="P250" s="5" t="b">
        <v>0</v>
      </c>
      <c r="Q250" s="5" t="b">
        <v>0</v>
      </c>
      <c r="R250" s="5" t="b">
        <v>0</v>
      </c>
      <c r="S250" s="5" t="b">
        <v>0</v>
      </c>
      <c r="T250" s="5" t="b">
        <v>0</v>
      </c>
      <c r="U250" s="5" t="b">
        <v>0</v>
      </c>
      <c r="V250" s="5" t="b">
        <v>0</v>
      </c>
      <c r="W250" s="5" t="b">
        <v>0</v>
      </c>
      <c r="X250" s="5">
        <v>1</v>
      </c>
      <c r="Y250" s="5">
        <v>2</v>
      </c>
      <c r="Z250" s="5" t="b">
        <v>0</v>
      </c>
      <c r="AA250" s="5">
        <v>5.4096080000000004</v>
      </c>
      <c r="AB250" s="5">
        <v>394.63912959461402</v>
      </c>
    </row>
    <row r="251" spans="2:28" x14ac:dyDescent="0.35">
      <c r="B251" s="5">
        <v>268</v>
      </c>
      <c r="C251" s="5">
        <v>321.36334614010434</v>
      </c>
      <c r="D251" s="5">
        <v>10.852301451312915</v>
      </c>
      <c r="E251" s="5">
        <v>11.081223151747137</v>
      </c>
      <c r="F251" s="5">
        <v>138.78383978351627</v>
      </c>
      <c r="G251" s="5">
        <v>102.4668901670554</v>
      </c>
      <c r="H251" s="5">
        <v>4.9674108943546553</v>
      </c>
      <c r="I251" s="5">
        <v>1.5061798681787384</v>
      </c>
      <c r="J251" s="5">
        <v>29.144809845719216</v>
      </c>
      <c r="K251" s="5">
        <v>80.835243402054687</v>
      </c>
      <c r="L251" s="5">
        <v>6.5317563245839114</v>
      </c>
      <c r="M251" s="5" t="b">
        <v>0</v>
      </c>
      <c r="N251" s="5" t="b">
        <v>0</v>
      </c>
      <c r="O251" s="5" t="b">
        <v>0</v>
      </c>
      <c r="P251" s="5" t="b">
        <v>0</v>
      </c>
      <c r="Q251" s="5" t="b">
        <v>0</v>
      </c>
      <c r="R251" s="5" t="b">
        <v>1</v>
      </c>
      <c r="S251" s="5" t="b">
        <v>0</v>
      </c>
      <c r="T251" s="5" t="b">
        <v>0</v>
      </c>
      <c r="U251" s="5" t="b">
        <v>0</v>
      </c>
      <c r="V251" s="5" t="b">
        <v>0</v>
      </c>
      <c r="W251" s="5" t="b">
        <v>0</v>
      </c>
      <c r="X251" s="5">
        <v>1</v>
      </c>
      <c r="Y251" s="5">
        <v>0</v>
      </c>
      <c r="Z251" s="5" t="b">
        <v>1</v>
      </c>
      <c r="AA251" s="5">
        <v>3.1121840000000001</v>
      </c>
      <c r="AB251" s="5">
        <v>396.05576214010432</v>
      </c>
    </row>
    <row r="252" spans="2:28" x14ac:dyDescent="0.35">
      <c r="B252" s="5">
        <v>241</v>
      </c>
      <c r="C252" s="5">
        <v>283.91786585109418</v>
      </c>
      <c r="D252" s="5">
        <v>12.470277610936504</v>
      </c>
      <c r="E252" s="5">
        <v>13.704111627171597</v>
      </c>
      <c r="F252" s="5">
        <v>133.22879578227057</v>
      </c>
      <c r="G252" s="5">
        <v>171.09014171108208</v>
      </c>
      <c r="H252" s="5">
        <v>29.878221468677019</v>
      </c>
      <c r="I252" s="5">
        <v>1.1629709363079914</v>
      </c>
      <c r="J252" s="5">
        <v>30.369767446066632</v>
      </c>
      <c r="K252" s="5">
        <v>61.017240799409734</v>
      </c>
      <c r="L252" s="5">
        <v>5.1451066888822901</v>
      </c>
      <c r="M252" s="5" t="b">
        <v>0</v>
      </c>
      <c r="N252" s="5" t="b">
        <v>0</v>
      </c>
      <c r="O252" s="5" t="b">
        <v>0</v>
      </c>
      <c r="P252" s="5" t="b">
        <v>1</v>
      </c>
      <c r="Q252" s="5" t="b">
        <v>0</v>
      </c>
      <c r="R252" s="5" t="b">
        <v>0</v>
      </c>
      <c r="S252" s="5" t="b">
        <v>0</v>
      </c>
      <c r="T252" s="5" t="b">
        <v>0</v>
      </c>
      <c r="U252" s="5" t="b">
        <v>0</v>
      </c>
      <c r="V252" s="5" t="b">
        <v>0</v>
      </c>
      <c r="W252" s="5" t="b">
        <v>0</v>
      </c>
      <c r="X252" s="5">
        <v>2</v>
      </c>
      <c r="Y252" s="5">
        <v>0</v>
      </c>
      <c r="Z252" s="5" t="b">
        <v>1</v>
      </c>
      <c r="AA252" s="5">
        <v>4.7310030000000003</v>
      </c>
      <c r="AB252" s="5">
        <v>397.46193785109421</v>
      </c>
    </row>
    <row r="253" spans="2:28" x14ac:dyDescent="0.35">
      <c r="B253" s="5">
        <v>233</v>
      </c>
      <c r="C253" s="5">
        <v>268.50130317973486</v>
      </c>
      <c r="D253" s="5">
        <v>12.417606420438984</v>
      </c>
      <c r="E253" s="5">
        <v>5.5931119426960958</v>
      </c>
      <c r="F253" s="5">
        <v>133.24844415391607</v>
      </c>
      <c r="G253" s="5">
        <v>164.92687890227305</v>
      </c>
      <c r="H253" s="5">
        <v>31.036385638209751</v>
      </c>
      <c r="I253" s="5">
        <v>1.0871157916825274</v>
      </c>
      <c r="J253" s="5">
        <v>28.600827960843141</v>
      </c>
      <c r="K253" s="5">
        <v>56.225512612779895</v>
      </c>
      <c r="L253" s="5">
        <v>5.6958132511416064</v>
      </c>
      <c r="M253" s="5" t="b">
        <v>0</v>
      </c>
      <c r="N253" s="5" t="b">
        <v>0</v>
      </c>
      <c r="O253" s="5" t="b">
        <v>0</v>
      </c>
      <c r="P253" s="5" t="b">
        <v>0</v>
      </c>
      <c r="Q253" s="5" t="b">
        <v>0</v>
      </c>
      <c r="R253" s="5" t="b">
        <v>1</v>
      </c>
      <c r="S253" s="5" t="b">
        <v>0</v>
      </c>
      <c r="T253" s="5" t="b">
        <v>0</v>
      </c>
      <c r="U253" s="5" t="b">
        <v>0</v>
      </c>
      <c r="V253" s="5" t="b">
        <v>0</v>
      </c>
      <c r="W253" s="5" t="b">
        <v>0</v>
      </c>
      <c r="X253" s="5">
        <v>1</v>
      </c>
      <c r="Y253" s="5">
        <v>0</v>
      </c>
      <c r="Z253" s="5" t="b">
        <v>1</v>
      </c>
      <c r="AA253" s="5">
        <v>5.4520939999999998</v>
      </c>
      <c r="AB253" s="5">
        <v>399.35155917973486</v>
      </c>
    </row>
    <row r="254" spans="2:28" x14ac:dyDescent="0.35">
      <c r="B254" s="5">
        <v>244</v>
      </c>
      <c r="C254" s="5">
        <v>285.60806257222674</v>
      </c>
      <c r="D254" s="5">
        <v>13.107653411553137</v>
      </c>
      <c r="E254" s="5">
        <v>4.832279692151026</v>
      </c>
      <c r="F254" s="5">
        <v>138.71141078023342</v>
      </c>
      <c r="G254" s="5">
        <v>142.0614724091752</v>
      </c>
      <c r="H254" s="5">
        <v>32.124171692556295</v>
      </c>
      <c r="I254" s="5">
        <v>1.0311066038593797</v>
      </c>
      <c r="J254" s="5">
        <v>28.132815153501877</v>
      </c>
      <c r="K254" s="5">
        <v>72.002430938408423</v>
      </c>
      <c r="L254" s="5">
        <v>6.6004120173534915</v>
      </c>
      <c r="M254" s="5" t="b">
        <v>0</v>
      </c>
      <c r="N254" s="5" t="b">
        <v>0</v>
      </c>
      <c r="O254" s="5" t="b">
        <v>0</v>
      </c>
      <c r="P254" s="5" t="b">
        <v>0</v>
      </c>
      <c r="Q254" s="5" t="b">
        <v>0</v>
      </c>
      <c r="R254" s="5" t="b">
        <v>1</v>
      </c>
      <c r="S254" s="5" t="b">
        <v>0</v>
      </c>
      <c r="T254" s="5" t="b">
        <v>0</v>
      </c>
      <c r="U254" s="5" t="b">
        <v>0</v>
      </c>
      <c r="V254" s="5" t="b">
        <v>0</v>
      </c>
      <c r="W254" s="5" t="b">
        <v>0</v>
      </c>
      <c r="X254" s="5">
        <v>2</v>
      </c>
      <c r="Y254" s="5">
        <v>2</v>
      </c>
      <c r="Z254" s="5" t="b">
        <v>1</v>
      </c>
      <c r="AA254" s="5">
        <v>4.7834544000000001</v>
      </c>
      <c r="AB254" s="5">
        <v>400.41096817222672</v>
      </c>
    </row>
    <row r="255" spans="2:28" x14ac:dyDescent="0.35">
      <c r="B255" s="5">
        <v>276</v>
      </c>
      <c r="C255" s="5">
        <v>337.85356594598295</v>
      </c>
      <c r="D255" s="5">
        <v>12.864063056556894</v>
      </c>
      <c r="E255" s="5">
        <v>12.989870210798465</v>
      </c>
      <c r="F255" s="5">
        <v>133.06164719102955</v>
      </c>
      <c r="G255" s="5">
        <v>137.145126212067</v>
      </c>
      <c r="H255" s="5">
        <v>38.686883416456695</v>
      </c>
      <c r="I255" s="5">
        <v>1.2435086620250686</v>
      </c>
      <c r="J255" s="5">
        <v>29.439376165175144</v>
      </c>
      <c r="K255" s="5">
        <v>70.564647979270006</v>
      </c>
      <c r="L255" s="5">
        <v>5.9089025037061687</v>
      </c>
      <c r="M255" s="5" t="b">
        <v>0</v>
      </c>
      <c r="N255" s="5" t="b">
        <v>0</v>
      </c>
      <c r="O255" s="5" t="b">
        <v>0</v>
      </c>
      <c r="P255" s="5" t="b">
        <v>0</v>
      </c>
      <c r="Q255" s="5" t="b">
        <v>0</v>
      </c>
      <c r="R255" s="5" t="b">
        <v>0</v>
      </c>
      <c r="S255" s="5" t="b">
        <v>0</v>
      </c>
      <c r="T255" s="5" t="b">
        <v>0</v>
      </c>
      <c r="U255" s="5" t="b">
        <v>0</v>
      </c>
      <c r="V255" s="5" t="b">
        <v>0</v>
      </c>
      <c r="W255" s="5" t="b">
        <v>0</v>
      </c>
      <c r="X255" s="5">
        <v>1</v>
      </c>
      <c r="Y255" s="5">
        <v>1</v>
      </c>
      <c r="Z255" s="5" t="b">
        <v>1</v>
      </c>
      <c r="AA255" s="5">
        <v>2.6910326000000002</v>
      </c>
      <c r="AB255" s="5">
        <v>402.43834834598294</v>
      </c>
    </row>
    <row r="256" spans="2:28" x14ac:dyDescent="0.35">
      <c r="B256" s="5">
        <v>259</v>
      </c>
      <c r="C256" s="5">
        <v>311.48462859087635</v>
      </c>
      <c r="D256" s="5">
        <v>10.675779415188368</v>
      </c>
      <c r="E256" s="5">
        <v>4.4245715714765392</v>
      </c>
      <c r="F256" s="5">
        <v>136.75244225848201</v>
      </c>
      <c r="G256" s="5">
        <v>178.98706763433097</v>
      </c>
      <c r="H256" s="5">
        <v>10.10885852808682</v>
      </c>
      <c r="I256" s="5">
        <v>0.96773061476325462</v>
      </c>
      <c r="J256" s="5">
        <v>29.696058493979027</v>
      </c>
      <c r="K256" s="5">
        <v>74.412444645396079</v>
      </c>
      <c r="L256" s="5">
        <v>6.4320458262738924</v>
      </c>
      <c r="M256" s="5" t="b">
        <v>0</v>
      </c>
      <c r="N256" s="5" t="b">
        <v>0</v>
      </c>
      <c r="O256" s="5" t="b">
        <v>0</v>
      </c>
      <c r="P256" s="5" t="b">
        <v>0</v>
      </c>
      <c r="Q256" s="5" t="b">
        <v>0</v>
      </c>
      <c r="R256" s="5" t="b">
        <v>0</v>
      </c>
      <c r="S256" s="5" t="b">
        <v>0</v>
      </c>
      <c r="T256" s="5" t="b">
        <v>0</v>
      </c>
      <c r="U256" s="5" t="b">
        <v>1</v>
      </c>
      <c r="V256" s="5" t="b">
        <v>0</v>
      </c>
      <c r="W256" s="5" t="b">
        <v>0</v>
      </c>
      <c r="X256" s="5">
        <v>2</v>
      </c>
      <c r="Y256" s="5">
        <v>1</v>
      </c>
      <c r="Z256" s="5" t="b">
        <v>1</v>
      </c>
      <c r="AA256" s="5">
        <v>3.7905977000000002</v>
      </c>
      <c r="AB256" s="5">
        <v>402.45897339087639</v>
      </c>
    </row>
    <row r="257" spans="2:28" x14ac:dyDescent="0.35">
      <c r="B257" s="5">
        <v>295</v>
      </c>
      <c r="C257" s="5">
        <v>356.65077977147132</v>
      </c>
      <c r="D257" s="5">
        <v>11.062681970094067</v>
      </c>
      <c r="E257" s="5">
        <v>7.0171330329186468</v>
      </c>
      <c r="F257" s="5">
        <v>137.24286237096888</v>
      </c>
      <c r="G257" s="5">
        <v>85.014242057157958</v>
      </c>
      <c r="H257" s="5">
        <v>28.82926035168704</v>
      </c>
      <c r="I257" s="5">
        <v>1.0462153339137068</v>
      </c>
      <c r="J257" s="5">
        <v>29.333097400705654</v>
      </c>
      <c r="K257" s="5">
        <v>74.741287463124763</v>
      </c>
      <c r="L257" s="5">
        <v>6.6150766839062154</v>
      </c>
      <c r="M257" s="5" t="b">
        <v>0</v>
      </c>
      <c r="N257" s="5" t="b">
        <v>0</v>
      </c>
      <c r="O257" s="5" t="b">
        <v>0</v>
      </c>
      <c r="P257" s="5" t="b">
        <v>0</v>
      </c>
      <c r="Q257" s="5" t="b">
        <v>0</v>
      </c>
      <c r="R257" s="5" t="b">
        <v>0</v>
      </c>
      <c r="S257" s="5" t="b">
        <v>0</v>
      </c>
      <c r="T257" s="5" t="b">
        <v>0</v>
      </c>
      <c r="U257" s="5" t="b">
        <v>0</v>
      </c>
      <c r="V257" s="5" t="b">
        <v>0</v>
      </c>
      <c r="W257" s="5" t="b">
        <v>0</v>
      </c>
      <c r="X257" s="5">
        <v>1</v>
      </c>
      <c r="Y257" s="5">
        <v>1</v>
      </c>
      <c r="Z257" s="5" t="b">
        <v>1</v>
      </c>
      <c r="AA257" s="5">
        <v>1.9555968999999997</v>
      </c>
      <c r="AB257" s="5">
        <v>403.58510537147134</v>
      </c>
    </row>
    <row r="258" spans="2:28" x14ac:dyDescent="0.35">
      <c r="B258" s="5">
        <v>301</v>
      </c>
      <c r="C258" s="5">
        <v>363.1174958442121</v>
      </c>
      <c r="D258" s="5">
        <v>12.110773198799023</v>
      </c>
      <c r="E258" s="5">
        <v>10.734647455865485</v>
      </c>
      <c r="F258" s="5">
        <v>140.32545980293798</v>
      </c>
      <c r="G258" s="5">
        <v>105.28593407026685</v>
      </c>
      <c r="H258" s="5">
        <v>18.016166953419621</v>
      </c>
      <c r="I258" s="5">
        <v>1.3554903324019012</v>
      </c>
      <c r="J258" s="5">
        <v>29.816060434606982</v>
      </c>
      <c r="K258" s="5">
        <v>87.830221113988358</v>
      </c>
      <c r="L258" s="5">
        <v>6.125210443510273</v>
      </c>
      <c r="M258" s="5" t="b">
        <v>0</v>
      </c>
      <c r="N258" s="5" t="b">
        <v>0</v>
      </c>
      <c r="O258" s="5" t="b">
        <v>0</v>
      </c>
      <c r="P258" s="5" t="b">
        <v>0</v>
      </c>
      <c r="Q258" s="5" t="b">
        <v>0</v>
      </c>
      <c r="R258" s="5" t="b">
        <v>0</v>
      </c>
      <c r="S258" s="5" t="b">
        <v>0</v>
      </c>
      <c r="T258" s="5" t="b">
        <v>0</v>
      </c>
      <c r="U258" s="5" t="b">
        <v>0</v>
      </c>
      <c r="V258" s="5" t="b">
        <v>0</v>
      </c>
      <c r="W258" s="5" t="b">
        <v>0</v>
      </c>
      <c r="X258" s="5">
        <v>1</v>
      </c>
      <c r="Y258" s="5">
        <v>0</v>
      </c>
      <c r="Z258" s="5" t="b">
        <v>1</v>
      </c>
      <c r="AA258" s="5">
        <v>1.7145212999999999</v>
      </c>
      <c r="AB258" s="5">
        <v>404.26600704421207</v>
      </c>
    </row>
    <row r="259" spans="2:28" x14ac:dyDescent="0.35">
      <c r="B259" s="5">
        <v>229</v>
      </c>
      <c r="C259" s="5">
        <v>263.41090924152377</v>
      </c>
      <c r="D259" s="5">
        <v>11.047729066357437</v>
      </c>
      <c r="E259" s="5">
        <v>3.186382270779653E-2</v>
      </c>
      <c r="F259" s="5">
        <v>140.63645231871638</v>
      </c>
      <c r="G259" s="5">
        <v>130.5182213106813</v>
      </c>
      <c r="H259" s="5">
        <v>14.925934622827068</v>
      </c>
      <c r="I259" s="5">
        <v>0.94884670902779833</v>
      </c>
      <c r="J259" s="5">
        <v>30.315909211536258</v>
      </c>
      <c r="K259" s="5">
        <v>72.387718397481336</v>
      </c>
      <c r="L259" s="5">
        <v>6.1666733014583572</v>
      </c>
      <c r="M259" s="5" t="b">
        <v>0</v>
      </c>
      <c r="N259" s="5" t="b">
        <v>0</v>
      </c>
      <c r="O259" s="5" t="b">
        <v>0</v>
      </c>
      <c r="P259" s="5" t="b">
        <v>0</v>
      </c>
      <c r="Q259" s="5" t="b">
        <v>1</v>
      </c>
      <c r="R259" s="5" t="b">
        <v>0</v>
      </c>
      <c r="S259" s="5" t="b">
        <v>0</v>
      </c>
      <c r="T259" s="5" t="b">
        <v>0</v>
      </c>
      <c r="U259" s="5" t="b">
        <v>0</v>
      </c>
      <c r="V259" s="5" t="b">
        <v>0</v>
      </c>
      <c r="W259" s="5" t="b">
        <v>0</v>
      </c>
      <c r="X259" s="5">
        <v>1</v>
      </c>
      <c r="Y259" s="5">
        <v>3</v>
      </c>
      <c r="Z259" s="5" t="b">
        <v>0</v>
      </c>
      <c r="AA259" s="5">
        <v>5.8738831999999999</v>
      </c>
      <c r="AB259" s="5">
        <v>404.38410604152375</v>
      </c>
    </row>
    <row r="260" spans="2:28" x14ac:dyDescent="0.35">
      <c r="B260" s="5">
        <v>261</v>
      </c>
      <c r="C260" s="5">
        <v>313.97046578613805</v>
      </c>
      <c r="D260" s="5">
        <v>11.168073336395604</v>
      </c>
      <c r="E260" s="5">
        <v>8.1512777994910888</v>
      </c>
      <c r="F260" s="5">
        <v>139.1892753037508</v>
      </c>
      <c r="G260" s="5">
        <v>152.73418436416725</v>
      </c>
      <c r="H260" s="5">
        <v>15.511784252993575</v>
      </c>
      <c r="I260" s="5">
        <v>0.8298088237769714</v>
      </c>
      <c r="J260" s="5">
        <v>29.940523237893405</v>
      </c>
      <c r="K260" s="5">
        <v>84.386109397891943</v>
      </c>
      <c r="L260" s="5">
        <v>6.154721850643857</v>
      </c>
      <c r="M260" s="5" t="b">
        <v>0</v>
      </c>
      <c r="N260" s="5" t="b">
        <v>0</v>
      </c>
      <c r="O260" s="5" t="b">
        <v>0</v>
      </c>
      <c r="P260" s="5" t="b">
        <v>0</v>
      </c>
      <c r="Q260" s="5" t="b">
        <v>0</v>
      </c>
      <c r="R260" s="5" t="b">
        <v>0</v>
      </c>
      <c r="S260" s="5" t="b">
        <v>0</v>
      </c>
      <c r="T260" s="5" t="b">
        <v>1</v>
      </c>
      <c r="U260" s="5" t="b">
        <v>0</v>
      </c>
      <c r="V260" s="5" t="b">
        <v>0</v>
      </c>
      <c r="W260" s="5" t="b">
        <v>0</v>
      </c>
      <c r="X260" s="5">
        <v>1</v>
      </c>
      <c r="Y260" s="5">
        <v>1</v>
      </c>
      <c r="Z260" s="5" t="b">
        <v>1</v>
      </c>
      <c r="AA260" s="5">
        <v>3.8967485000000002</v>
      </c>
      <c r="AB260" s="5">
        <v>407.49242978613808</v>
      </c>
    </row>
    <row r="261" spans="2:28" x14ac:dyDescent="0.35">
      <c r="B261" s="5">
        <v>257</v>
      </c>
      <c r="C261" s="5">
        <v>307.78855982322852</v>
      </c>
      <c r="D261" s="5">
        <v>8.9591835467839633</v>
      </c>
      <c r="E261" s="5">
        <v>5.1019124556226769</v>
      </c>
      <c r="F261" s="5">
        <v>142.41546546346612</v>
      </c>
      <c r="G261" s="5">
        <v>153.159932485822</v>
      </c>
      <c r="H261" s="5">
        <v>23.757054478127529</v>
      </c>
      <c r="I261" s="5">
        <v>1.3379277016027347</v>
      </c>
      <c r="J261" s="5">
        <v>31.134763391657309</v>
      </c>
      <c r="K261" s="5">
        <v>75.128498615344782</v>
      </c>
      <c r="L261" s="5">
        <v>6.6632657354476788</v>
      </c>
      <c r="M261" s="5" t="b">
        <v>0</v>
      </c>
      <c r="N261" s="5" t="b">
        <v>0</v>
      </c>
      <c r="O261" s="5" t="b">
        <v>1</v>
      </c>
      <c r="P261" s="5" t="b">
        <v>0</v>
      </c>
      <c r="Q261" s="5" t="b">
        <v>0</v>
      </c>
      <c r="R261" s="5" t="b">
        <v>0</v>
      </c>
      <c r="S261" s="5" t="b">
        <v>0</v>
      </c>
      <c r="T261" s="5" t="b">
        <v>0</v>
      </c>
      <c r="U261" s="5" t="b">
        <v>0</v>
      </c>
      <c r="V261" s="5" t="b">
        <v>0</v>
      </c>
      <c r="W261" s="5" t="b">
        <v>0</v>
      </c>
      <c r="X261" s="5">
        <v>1</v>
      </c>
      <c r="Y261" s="5">
        <v>0</v>
      </c>
      <c r="Z261" s="5" t="b">
        <v>0</v>
      </c>
      <c r="AA261" s="5">
        <v>4.221565</v>
      </c>
      <c r="AB261" s="5">
        <v>409.10611982322854</v>
      </c>
    </row>
    <row r="262" spans="2:28" x14ac:dyDescent="0.35">
      <c r="B262" s="5">
        <v>234</v>
      </c>
      <c r="C262" s="5">
        <v>272.16156755518085</v>
      </c>
      <c r="D262" s="5">
        <v>13.607402101192033</v>
      </c>
      <c r="E262" s="5">
        <v>13.885699991566012</v>
      </c>
      <c r="F262" s="5">
        <v>142.5486149184905</v>
      </c>
      <c r="G262" s="5">
        <v>150.42698371790274</v>
      </c>
      <c r="H262" s="5">
        <v>3.2859404629187825</v>
      </c>
      <c r="I262" s="5">
        <v>0.819750035383352</v>
      </c>
      <c r="J262" s="5">
        <v>27.395350534042464</v>
      </c>
      <c r="K262" s="5">
        <v>67.667526409897349</v>
      </c>
      <c r="L262" s="5">
        <v>5.9929133706813653</v>
      </c>
      <c r="M262" s="5" t="b">
        <v>0</v>
      </c>
      <c r="N262" s="5" t="b">
        <v>0</v>
      </c>
      <c r="O262" s="5" t="b">
        <v>0</v>
      </c>
      <c r="P262" s="5" t="b">
        <v>0</v>
      </c>
      <c r="Q262" s="5" t="b">
        <v>0</v>
      </c>
      <c r="R262" s="5" t="b">
        <v>0</v>
      </c>
      <c r="S262" s="5" t="b">
        <v>0</v>
      </c>
      <c r="T262" s="5" t="b">
        <v>0</v>
      </c>
      <c r="U262" s="5" t="b">
        <v>0</v>
      </c>
      <c r="V262" s="5" t="b">
        <v>0</v>
      </c>
      <c r="W262" s="5" t="b">
        <v>0</v>
      </c>
      <c r="X262" s="5">
        <v>2</v>
      </c>
      <c r="Y262" s="5">
        <v>2</v>
      </c>
      <c r="Z262" s="5" t="b">
        <v>0</v>
      </c>
      <c r="AA262" s="5">
        <v>5.7156744000000002</v>
      </c>
      <c r="AB262" s="5">
        <v>409.33775315518085</v>
      </c>
    </row>
    <row r="263" spans="2:28" x14ac:dyDescent="0.35">
      <c r="B263" s="5">
        <v>193</v>
      </c>
      <c r="C263" s="5">
        <v>220.80669571648923</v>
      </c>
      <c r="D263" s="5">
        <v>10.639535084392207</v>
      </c>
      <c r="E263" s="5">
        <v>1.6539090934257903</v>
      </c>
      <c r="F263" s="5">
        <v>134.12143204302467</v>
      </c>
      <c r="G263" s="5">
        <v>97.920127367647439</v>
      </c>
      <c r="H263" s="5">
        <v>17.398069663071759</v>
      </c>
      <c r="I263" s="5">
        <v>1.0045371390522875</v>
      </c>
      <c r="J263" s="5">
        <v>28.817731783257443</v>
      </c>
      <c r="K263" s="5">
        <v>94.726697620945004</v>
      </c>
      <c r="L263" s="5">
        <v>7.2284777625655341</v>
      </c>
      <c r="M263" s="5" t="b">
        <v>0</v>
      </c>
      <c r="N263" s="5" t="b">
        <v>0</v>
      </c>
      <c r="O263" s="5" t="b">
        <v>0</v>
      </c>
      <c r="P263" s="5" t="b">
        <v>0</v>
      </c>
      <c r="Q263" s="5" t="b">
        <v>0</v>
      </c>
      <c r="R263" s="5" t="b">
        <v>1</v>
      </c>
      <c r="S263" s="5" t="b">
        <v>0</v>
      </c>
      <c r="T263" s="5" t="b">
        <v>0</v>
      </c>
      <c r="U263" s="5" t="b">
        <v>0</v>
      </c>
      <c r="V263" s="5" t="b">
        <v>0</v>
      </c>
      <c r="W263" s="5" t="b">
        <v>0</v>
      </c>
      <c r="X263" s="5">
        <v>0</v>
      </c>
      <c r="Y263" s="5">
        <v>1</v>
      </c>
      <c r="Z263" s="5" t="b">
        <v>1</v>
      </c>
      <c r="AA263" s="5">
        <v>7.8776937</v>
      </c>
      <c r="AB263" s="5">
        <v>409.87134451648922</v>
      </c>
    </row>
    <row r="264" spans="2:28" x14ac:dyDescent="0.35">
      <c r="B264" s="5">
        <v>305</v>
      </c>
      <c r="C264" s="5">
        <v>366.7824941363188</v>
      </c>
      <c r="D264" s="5">
        <v>10.815789663064464</v>
      </c>
      <c r="E264" s="5">
        <v>4.7226800698938032</v>
      </c>
      <c r="F264" s="5">
        <v>136.45362893618017</v>
      </c>
      <c r="G264" s="5">
        <v>152.44633565898584</v>
      </c>
      <c r="H264" s="5">
        <v>10.62305266462792</v>
      </c>
      <c r="I264" s="5">
        <v>1.1864250145766695</v>
      </c>
      <c r="J264" s="5">
        <v>31.70622584494237</v>
      </c>
      <c r="K264" s="5">
        <v>64.44063880723526</v>
      </c>
      <c r="L264" s="5">
        <v>6.5034324815097673</v>
      </c>
      <c r="M264" s="5" t="b">
        <v>0</v>
      </c>
      <c r="N264" s="5" t="b">
        <v>0</v>
      </c>
      <c r="O264" s="5" t="b">
        <v>0</v>
      </c>
      <c r="P264" s="5" t="b">
        <v>0</v>
      </c>
      <c r="Q264" s="5" t="b">
        <v>0</v>
      </c>
      <c r="R264" s="5" t="b">
        <v>0</v>
      </c>
      <c r="S264" s="5" t="b">
        <v>0</v>
      </c>
      <c r="T264" s="5" t="b">
        <v>0</v>
      </c>
      <c r="U264" s="5" t="b">
        <v>0</v>
      </c>
      <c r="V264" s="5" t="b">
        <v>0</v>
      </c>
      <c r="W264" s="5" t="b">
        <v>0</v>
      </c>
      <c r="X264" s="5">
        <v>3</v>
      </c>
      <c r="Y264" s="5">
        <v>1</v>
      </c>
      <c r="Z264" s="5" t="b">
        <v>0</v>
      </c>
      <c r="AA264" s="5">
        <v>1.8125255999999998</v>
      </c>
      <c r="AB264" s="5">
        <v>410.28310853631882</v>
      </c>
    </row>
    <row r="265" spans="2:28" x14ac:dyDescent="0.35">
      <c r="B265" s="5">
        <v>267</v>
      </c>
      <c r="C265" s="5">
        <v>321.15273480080407</v>
      </c>
      <c r="D265" s="5">
        <v>12.914763413277434</v>
      </c>
      <c r="E265" s="5">
        <v>15.644915362262331</v>
      </c>
      <c r="F265" s="5">
        <v>135.66096707248209</v>
      </c>
      <c r="G265" s="5">
        <v>104.07170367557794</v>
      </c>
      <c r="H265" s="5">
        <v>34.597956824040871</v>
      </c>
      <c r="I265" s="5">
        <v>1.0466161526560589</v>
      </c>
      <c r="J265" s="5">
        <v>30.871538049621819</v>
      </c>
      <c r="K265" s="5">
        <v>93.124095652534805</v>
      </c>
      <c r="L265" s="5">
        <v>7.2879612316679765</v>
      </c>
      <c r="M265" s="5" t="b">
        <v>0</v>
      </c>
      <c r="N265" s="5" t="b">
        <v>0</v>
      </c>
      <c r="O265" s="5" t="b">
        <v>0</v>
      </c>
      <c r="P265" s="5" t="b">
        <v>0</v>
      </c>
      <c r="Q265" s="5" t="b">
        <v>0</v>
      </c>
      <c r="R265" s="5" t="b">
        <v>0</v>
      </c>
      <c r="S265" s="5" t="b">
        <v>0</v>
      </c>
      <c r="T265" s="5" t="b">
        <v>0</v>
      </c>
      <c r="U265" s="5" t="b">
        <v>0</v>
      </c>
      <c r="V265" s="5" t="b">
        <v>0</v>
      </c>
      <c r="W265" s="5" t="b">
        <v>0</v>
      </c>
      <c r="X265" s="5">
        <v>1</v>
      </c>
      <c r="Y265" s="5">
        <v>1</v>
      </c>
      <c r="Z265" s="5" t="b">
        <v>0</v>
      </c>
      <c r="AA265" s="5">
        <v>3.7138567</v>
      </c>
      <c r="AB265" s="5">
        <v>410.28529560080403</v>
      </c>
    </row>
    <row r="266" spans="2:28" x14ac:dyDescent="0.35">
      <c r="B266" s="5">
        <v>279</v>
      </c>
      <c r="C266" s="5">
        <v>340.86680362804304</v>
      </c>
      <c r="D266" s="5">
        <v>11.855186938485822</v>
      </c>
      <c r="E266" s="5">
        <v>10.461637600347546</v>
      </c>
      <c r="F266" s="5">
        <v>137.26801713243506</v>
      </c>
      <c r="G266" s="5">
        <v>155.43697370843097</v>
      </c>
      <c r="H266" s="5">
        <v>0.57990488513700811</v>
      </c>
      <c r="I266" s="5">
        <v>1.1309788028493062</v>
      </c>
      <c r="J266" s="5">
        <v>29.709953826181156</v>
      </c>
      <c r="K266" s="5">
        <v>81.904029408906695</v>
      </c>
      <c r="L266" s="5">
        <v>6.0033912540544145</v>
      </c>
      <c r="M266" s="5" t="b">
        <v>0</v>
      </c>
      <c r="N266" s="5" t="b">
        <v>0</v>
      </c>
      <c r="O266" s="5" t="b">
        <v>0</v>
      </c>
      <c r="P266" s="5" t="b">
        <v>0</v>
      </c>
      <c r="Q266" s="5" t="b">
        <v>1</v>
      </c>
      <c r="R266" s="5" t="b">
        <v>0</v>
      </c>
      <c r="S266" s="5" t="b">
        <v>0</v>
      </c>
      <c r="T266" s="5" t="b">
        <v>0</v>
      </c>
      <c r="U266" s="5" t="b">
        <v>0</v>
      </c>
      <c r="V266" s="5" t="b">
        <v>0</v>
      </c>
      <c r="W266" s="5" t="b">
        <v>0</v>
      </c>
      <c r="X266" s="5">
        <v>2</v>
      </c>
      <c r="Y266" s="5">
        <v>0</v>
      </c>
      <c r="Z266" s="5" t="b">
        <v>0</v>
      </c>
      <c r="AA266" s="5">
        <v>2.8950833999999999</v>
      </c>
      <c r="AB266" s="5">
        <v>410.34880522804303</v>
      </c>
    </row>
    <row r="267" spans="2:28" x14ac:dyDescent="0.35">
      <c r="B267" s="5">
        <v>298</v>
      </c>
      <c r="C267" s="5">
        <v>360.0809072264891</v>
      </c>
      <c r="D267" s="5">
        <v>11.985806061509793</v>
      </c>
      <c r="E267" s="5">
        <v>10.569635134309063</v>
      </c>
      <c r="F267" s="5">
        <v>133.49465137188008</v>
      </c>
      <c r="G267" s="5">
        <v>175.07488531693966</v>
      </c>
      <c r="H267" s="5">
        <v>19.857098733262909</v>
      </c>
      <c r="I267" s="5">
        <v>1.0015621917363229</v>
      </c>
      <c r="J267" s="5">
        <v>28.931242451893141</v>
      </c>
      <c r="K267" s="5">
        <v>66.079177513524328</v>
      </c>
      <c r="L267" s="5">
        <v>5.9140459375210872</v>
      </c>
      <c r="M267" s="5" t="b">
        <v>0</v>
      </c>
      <c r="N267" s="5" t="b">
        <v>0</v>
      </c>
      <c r="O267" s="5" t="b">
        <v>0</v>
      </c>
      <c r="P267" s="5" t="b">
        <v>0</v>
      </c>
      <c r="Q267" s="5" t="b">
        <v>0</v>
      </c>
      <c r="R267" s="5" t="b">
        <v>0</v>
      </c>
      <c r="S267" s="5" t="b">
        <v>0</v>
      </c>
      <c r="T267" s="5" t="b">
        <v>0</v>
      </c>
      <c r="U267" s="5" t="b">
        <v>0</v>
      </c>
      <c r="V267" s="5" t="b">
        <v>0</v>
      </c>
      <c r="W267" s="5" t="b">
        <v>0</v>
      </c>
      <c r="X267" s="5">
        <v>2</v>
      </c>
      <c r="Y267" s="5">
        <v>1</v>
      </c>
      <c r="Z267" s="5" t="b">
        <v>0</v>
      </c>
      <c r="AA267" s="5">
        <v>2.1142116</v>
      </c>
      <c r="AB267" s="5">
        <v>410.8219856264891</v>
      </c>
    </row>
    <row r="268" spans="2:28" x14ac:dyDescent="0.35">
      <c r="B268" s="5">
        <v>251</v>
      </c>
      <c r="C268" s="5">
        <v>296.62333368181055</v>
      </c>
      <c r="D268" s="5">
        <v>11.925937740733168</v>
      </c>
      <c r="E268" s="5">
        <v>18.790358077002232</v>
      </c>
      <c r="F268" s="5">
        <v>134.13355189733971</v>
      </c>
      <c r="G268" s="5">
        <v>126.91611197473641</v>
      </c>
      <c r="H268" s="5">
        <v>12.760347097938425</v>
      </c>
      <c r="I268" s="5">
        <v>0.66942880017283302</v>
      </c>
      <c r="J268" s="5">
        <v>26.786793389840298</v>
      </c>
      <c r="K268" s="5">
        <v>73.215511755216639</v>
      </c>
      <c r="L268" s="5">
        <v>5.9257573295096471</v>
      </c>
      <c r="M268" s="5" t="b">
        <v>0</v>
      </c>
      <c r="N268" s="5" t="b">
        <v>0</v>
      </c>
      <c r="O268" s="5" t="b">
        <v>1</v>
      </c>
      <c r="P268" s="5" t="b">
        <v>0</v>
      </c>
      <c r="Q268" s="5" t="b">
        <v>0</v>
      </c>
      <c r="R268" s="5" t="b">
        <v>0</v>
      </c>
      <c r="S268" s="5" t="b">
        <v>0</v>
      </c>
      <c r="T268" s="5" t="b">
        <v>0</v>
      </c>
      <c r="U268" s="5" t="b">
        <v>0</v>
      </c>
      <c r="V268" s="5" t="b">
        <v>0</v>
      </c>
      <c r="W268" s="5" t="b">
        <v>0</v>
      </c>
      <c r="X268" s="5">
        <v>2</v>
      </c>
      <c r="Y268" s="5">
        <v>0</v>
      </c>
      <c r="Z268" s="5" t="b">
        <v>0</v>
      </c>
      <c r="AA268" s="5">
        <v>4.9059157000000004</v>
      </c>
      <c r="AB268" s="5">
        <v>414.36531048181052</v>
      </c>
    </row>
    <row r="269" spans="2:28" x14ac:dyDescent="0.35">
      <c r="B269" s="5">
        <v>254</v>
      </c>
      <c r="C269" s="5">
        <v>303.14880518564553</v>
      </c>
      <c r="D269" s="5">
        <v>9.7511720340461014</v>
      </c>
      <c r="E269" s="5">
        <v>10.281983256488203</v>
      </c>
      <c r="F269" s="5">
        <v>142.06742508318021</v>
      </c>
      <c r="G269" s="5">
        <v>152.26869080694345</v>
      </c>
      <c r="H269" s="5">
        <v>26.581490468408699</v>
      </c>
      <c r="I269" s="5">
        <v>1.2926001657674577</v>
      </c>
      <c r="J269" s="5">
        <v>30.730820277437076</v>
      </c>
      <c r="K269" s="5">
        <v>62.40529008770342</v>
      </c>
      <c r="L269" s="5">
        <v>6.4407219866364898</v>
      </c>
      <c r="M269" s="5" t="b">
        <v>0</v>
      </c>
      <c r="N269" s="5" t="b">
        <v>0</v>
      </c>
      <c r="O269" s="5" t="b">
        <v>0</v>
      </c>
      <c r="P269" s="5" t="b">
        <v>1</v>
      </c>
      <c r="Q269" s="5" t="b">
        <v>1</v>
      </c>
      <c r="R269" s="5" t="b">
        <v>0</v>
      </c>
      <c r="S269" s="5" t="b">
        <v>0</v>
      </c>
      <c r="T269" s="5" t="b">
        <v>0</v>
      </c>
      <c r="U269" s="5" t="b">
        <v>0</v>
      </c>
      <c r="V269" s="5" t="b">
        <v>0</v>
      </c>
      <c r="W269" s="5" t="b">
        <v>0</v>
      </c>
      <c r="X269" s="5">
        <v>2</v>
      </c>
      <c r="Y269" s="5">
        <v>1</v>
      </c>
      <c r="Z269" s="5" t="b">
        <v>0</v>
      </c>
      <c r="AA269" s="5">
        <v>4.7328234</v>
      </c>
      <c r="AB269" s="5">
        <v>416.73656678564555</v>
      </c>
    </row>
    <row r="270" spans="2:28" x14ac:dyDescent="0.35">
      <c r="B270" s="5">
        <v>287</v>
      </c>
      <c r="C270" s="5">
        <v>346.69864993130841</v>
      </c>
      <c r="D270" s="5">
        <v>12.191083894381434</v>
      </c>
      <c r="E270" s="5">
        <v>5.7637843610314068</v>
      </c>
      <c r="F270" s="5">
        <v>140.65905752192984</v>
      </c>
      <c r="G270" s="5">
        <v>95.228636086598215</v>
      </c>
      <c r="H270" s="5">
        <v>7.5783154855046178</v>
      </c>
      <c r="I270" s="5">
        <v>0.89997819378416533</v>
      </c>
      <c r="J270" s="5">
        <v>30.773538753549463</v>
      </c>
      <c r="K270" s="5">
        <v>65.738943451826259</v>
      </c>
      <c r="L270" s="5">
        <v>6.3185885059915705</v>
      </c>
      <c r="M270" s="5" t="b">
        <v>0</v>
      </c>
      <c r="N270" s="5" t="b">
        <v>0</v>
      </c>
      <c r="O270" s="5" t="b">
        <v>0</v>
      </c>
      <c r="P270" s="5" t="b">
        <v>0</v>
      </c>
      <c r="Q270" s="5" t="b">
        <v>0</v>
      </c>
      <c r="R270" s="5" t="b">
        <v>1</v>
      </c>
      <c r="S270" s="5" t="b">
        <v>0</v>
      </c>
      <c r="T270" s="5" t="b">
        <v>0</v>
      </c>
      <c r="U270" s="5" t="b">
        <v>0</v>
      </c>
      <c r="V270" s="5" t="b">
        <v>0</v>
      </c>
      <c r="W270" s="5" t="b">
        <v>0</v>
      </c>
      <c r="X270" s="5">
        <v>0</v>
      </c>
      <c r="Y270" s="5">
        <v>0</v>
      </c>
      <c r="Z270" s="5" t="b">
        <v>1</v>
      </c>
      <c r="AA270" s="5">
        <v>2.9346008000000001</v>
      </c>
      <c r="AB270" s="5">
        <v>417.12906913130843</v>
      </c>
    </row>
    <row r="271" spans="2:28" x14ac:dyDescent="0.35">
      <c r="B271" s="5">
        <v>288</v>
      </c>
      <c r="C271" s="5">
        <v>347.34186348391688</v>
      </c>
      <c r="D271" s="5">
        <v>11.77799820781728</v>
      </c>
      <c r="E271" s="5">
        <v>6.1590144106650442</v>
      </c>
      <c r="F271" s="5">
        <v>140.58539636141174</v>
      </c>
      <c r="G271" s="5">
        <v>133.6912649563393</v>
      </c>
      <c r="H271" s="5">
        <v>1.0625229582002831</v>
      </c>
      <c r="I271" s="5">
        <v>1.1613940181003681</v>
      </c>
      <c r="J271" s="5">
        <v>26.022270062689092</v>
      </c>
      <c r="K271" s="5">
        <v>75.713299069611352</v>
      </c>
      <c r="L271" s="5">
        <v>6.8047489012891482</v>
      </c>
      <c r="M271" s="5" t="b">
        <v>0</v>
      </c>
      <c r="N271" s="5" t="b">
        <v>0</v>
      </c>
      <c r="O271" s="5" t="b">
        <v>0</v>
      </c>
      <c r="P271" s="5" t="b">
        <v>0</v>
      </c>
      <c r="Q271" s="5" t="b">
        <v>0</v>
      </c>
      <c r="R271" s="5" t="b">
        <v>1</v>
      </c>
      <c r="S271" s="5" t="b">
        <v>0</v>
      </c>
      <c r="T271" s="5" t="b">
        <v>0</v>
      </c>
      <c r="U271" s="5" t="b">
        <v>0</v>
      </c>
      <c r="V271" s="5" t="b">
        <v>1</v>
      </c>
      <c r="W271" s="5" t="b">
        <v>0</v>
      </c>
      <c r="X271" s="5">
        <v>1</v>
      </c>
      <c r="Y271" s="5">
        <v>0</v>
      </c>
      <c r="Z271" s="5" t="b">
        <v>0</v>
      </c>
      <c r="AA271" s="5">
        <v>2.9414359999999999</v>
      </c>
      <c r="AB271" s="5">
        <v>417.9363274839169</v>
      </c>
    </row>
    <row r="272" spans="2:28" x14ac:dyDescent="0.35">
      <c r="B272" s="5">
        <v>274</v>
      </c>
      <c r="C272" s="5">
        <v>335.57494716391841</v>
      </c>
      <c r="D272" s="5">
        <v>13.349513896381362</v>
      </c>
      <c r="E272" s="5">
        <v>14.404667437893984</v>
      </c>
      <c r="F272" s="5">
        <v>141.51579453430571</v>
      </c>
      <c r="G272" s="5">
        <v>135.47798726470697</v>
      </c>
      <c r="H272" s="5">
        <v>18.193430598543653</v>
      </c>
      <c r="I272" s="5">
        <v>1.1036204944383696</v>
      </c>
      <c r="J272" s="5">
        <v>29.237495305860936</v>
      </c>
      <c r="K272" s="5">
        <v>69.568353126338607</v>
      </c>
      <c r="L272" s="5">
        <v>5.7508987810199281</v>
      </c>
      <c r="M272" s="5" t="b">
        <v>0</v>
      </c>
      <c r="N272" s="5" t="b">
        <v>0</v>
      </c>
      <c r="O272" s="5" t="b">
        <v>0</v>
      </c>
      <c r="P272" s="5" t="b">
        <v>0</v>
      </c>
      <c r="Q272" s="5" t="b">
        <v>0</v>
      </c>
      <c r="R272" s="5" t="b">
        <v>1</v>
      </c>
      <c r="S272" s="5" t="b">
        <v>0</v>
      </c>
      <c r="T272" s="5" t="b">
        <v>0</v>
      </c>
      <c r="U272" s="5" t="b">
        <v>0</v>
      </c>
      <c r="V272" s="5" t="b">
        <v>0</v>
      </c>
      <c r="W272" s="5" t="b">
        <v>0</v>
      </c>
      <c r="X272" s="5">
        <v>1</v>
      </c>
      <c r="Y272" s="5">
        <v>0</v>
      </c>
      <c r="Z272" s="5" t="b">
        <v>0</v>
      </c>
      <c r="AA272" s="5">
        <v>3.4398131000000003</v>
      </c>
      <c r="AB272" s="5">
        <v>418.1304615639184</v>
      </c>
    </row>
    <row r="273" spans="2:28" x14ac:dyDescent="0.35">
      <c r="B273" s="5">
        <v>270</v>
      </c>
      <c r="C273" s="5">
        <v>326.27961330474636</v>
      </c>
      <c r="D273" s="5">
        <v>11.831933843169271</v>
      </c>
      <c r="E273" s="5">
        <v>7.1300389204745445</v>
      </c>
      <c r="F273" s="5">
        <v>137.48147442373494</v>
      </c>
      <c r="G273" s="5">
        <v>142.13272704784487</v>
      </c>
      <c r="H273" s="5">
        <v>14.012287567610167</v>
      </c>
      <c r="I273" s="5">
        <v>1.1540281882128793</v>
      </c>
      <c r="J273" s="5">
        <v>30.000211637938417</v>
      </c>
      <c r="K273" s="5">
        <v>91.92033752882152</v>
      </c>
      <c r="L273" s="5">
        <v>6.1685138435903584</v>
      </c>
      <c r="M273" s="5" t="b">
        <v>0</v>
      </c>
      <c r="N273" s="5" t="b">
        <v>0</v>
      </c>
      <c r="O273" s="5" t="b">
        <v>0</v>
      </c>
      <c r="P273" s="5" t="b">
        <v>0</v>
      </c>
      <c r="Q273" s="5" t="b">
        <v>0</v>
      </c>
      <c r="R273" s="5" t="b">
        <v>1</v>
      </c>
      <c r="S273" s="5" t="b">
        <v>0</v>
      </c>
      <c r="T273" s="5" t="b">
        <v>0</v>
      </c>
      <c r="U273" s="5" t="b">
        <v>0</v>
      </c>
      <c r="V273" s="5" t="b">
        <v>0</v>
      </c>
      <c r="W273" s="5" t="b">
        <v>0</v>
      </c>
      <c r="X273" s="5">
        <v>2</v>
      </c>
      <c r="Y273" s="5">
        <v>1</v>
      </c>
      <c r="Z273" s="5" t="b">
        <v>1</v>
      </c>
      <c r="AA273" s="5">
        <v>3.9230359000000004</v>
      </c>
      <c r="AB273" s="5">
        <v>420.43247490474636</v>
      </c>
    </row>
    <row r="274" spans="2:28" x14ac:dyDescent="0.35">
      <c r="B274" s="5">
        <v>266</v>
      </c>
      <c r="C274" s="5">
        <v>320.6694622896739</v>
      </c>
      <c r="D274" s="5">
        <v>11.691593452496463</v>
      </c>
      <c r="E274" s="5">
        <v>15.261707864602581</v>
      </c>
      <c r="F274" s="5">
        <v>141.21839675577951</v>
      </c>
      <c r="G274" s="5">
        <v>147.38309135996846</v>
      </c>
      <c r="H274" s="5">
        <v>12.293609638146064</v>
      </c>
      <c r="I274" s="5">
        <v>1.0604784155492601</v>
      </c>
      <c r="J274" s="5">
        <v>30.288070666587217</v>
      </c>
      <c r="K274" s="5">
        <v>92.717372079887753</v>
      </c>
      <c r="L274" s="5">
        <v>7.6940555964411583</v>
      </c>
      <c r="M274" s="5" t="b">
        <v>0</v>
      </c>
      <c r="N274" s="5" t="b">
        <v>0</v>
      </c>
      <c r="O274" s="5" t="b">
        <v>1</v>
      </c>
      <c r="P274" s="5" t="b">
        <v>0</v>
      </c>
      <c r="Q274" s="5" t="b">
        <v>0</v>
      </c>
      <c r="R274" s="5" t="b">
        <v>0</v>
      </c>
      <c r="S274" s="5" t="b">
        <v>0</v>
      </c>
      <c r="T274" s="5" t="b">
        <v>0</v>
      </c>
      <c r="U274" s="5" t="b">
        <v>0</v>
      </c>
      <c r="V274" s="5" t="b">
        <v>0</v>
      </c>
      <c r="W274" s="5" t="b">
        <v>0</v>
      </c>
      <c r="X274" s="5">
        <v>2</v>
      </c>
      <c r="Y274" s="5">
        <v>0</v>
      </c>
      <c r="Z274" s="5" t="b">
        <v>1</v>
      </c>
      <c r="AA274" s="5">
        <v>4.1940369999999998</v>
      </c>
      <c r="AB274" s="5">
        <v>421.32635028967388</v>
      </c>
    </row>
    <row r="275" spans="2:28" x14ac:dyDescent="0.35">
      <c r="B275" s="5">
        <v>269</v>
      </c>
      <c r="C275" s="5">
        <v>323.89615025922541</v>
      </c>
      <c r="D275" s="5">
        <v>13.158497495567605</v>
      </c>
      <c r="E275" s="5">
        <v>13.38001244516696</v>
      </c>
      <c r="F275" s="5">
        <v>141.18598450495227</v>
      </c>
      <c r="G275" s="5">
        <v>192.07211429191719</v>
      </c>
      <c r="H275" s="5">
        <v>39.895613965498953</v>
      </c>
      <c r="I275" s="5">
        <v>0.62315884185653481</v>
      </c>
      <c r="J275" s="5">
        <v>30.202090588399741</v>
      </c>
      <c r="K275" s="5">
        <v>75.879257430260736</v>
      </c>
      <c r="L275" s="5">
        <v>6.4782820277856654</v>
      </c>
      <c r="M275" s="5" t="b">
        <v>0</v>
      </c>
      <c r="N275" s="5" t="b">
        <v>0</v>
      </c>
      <c r="O275" s="5" t="b">
        <v>0</v>
      </c>
      <c r="P275" s="5" t="b">
        <v>0</v>
      </c>
      <c r="Q275" s="5" t="b">
        <v>0</v>
      </c>
      <c r="R275" s="5" t="b">
        <v>0</v>
      </c>
      <c r="S275" s="5" t="b">
        <v>0</v>
      </c>
      <c r="T275" s="5" t="b">
        <v>0</v>
      </c>
      <c r="U275" s="5" t="b">
        <v>0</v>
      </c>
      <c r="V275" s="5" t="b">
        <v>0</v>
      </c>
      <c r="W275" s="5" t="b">
        <v>0</v>
      </c>
      <c r="X275" s="5">
        <v>0</v>
      </c>
      <c r="Y275" s="5">
        <v>1</v>
      </c>
      <c r="Z275" s="5" t="b">
        <v>0</v>
      </c>
      <c r="AA275" s="5">
        <v>4.0821139999999998</v>
      </c>
      <c r="AB275" s="5">
        <v>421.8668862592254</v>
      </c>
    </row>
    <row r="276" spans="2:28" x14ac:dyDescent="0.35">
      <c r="B276" s="5">
        <v>255</v>
      </c>
      <c r="C276" s="5">
        <v>303.91419837643537</v>
      </c>
      <c r="D276" s="5">
        <v>11.418572589383301</v>
      </c>
      <c r="E276" s="5">
        <v>13.383081838771208</v>
      </c>
      <c r="F276" s="5">
        <v>137.65073241896741</v>
      </c>
      <c r="G276" s="5">
        <v>165.77822519918689</v>
      </c>
      <c r="H276" s="5">
        <v>9.3707324941259849</v>
      </c>
      <c r="I276" s="5">
        <v>1.1849724462623679</v>
      </c>
      <c r="J276" s="5">
        <v>31.076770937171659</v>
      </c>
      <c r="K276" s="5">
        <v>87.238117341367868</v>
      </c>
      <c r="L276" s="5">
        <v>6.6167291624044156</v>
      </c>
      <c r="M276" s="5" t="b">
        <v>0</v>
      </c>
      <c r="N276" s="5" t="b">
        <v>0</v>
      </c>
      <c r="O276" s="5" t="b">
        <v>0</v>
      </c>
      <c r="P276" s="5" t="b">
        <v>0</v>
      </c>
      <c r="Q276" s="5" t="b">
        <v>0</v>
      </c>
      <c r="R276" s="5" t="b">
        <v>0</v>
      </c>
      <c r="S276" s="5" t="b">
        <v>0</v>
      </c>
      <c r="T276" s="5" t="b">
        <v>1</v>
      </c>
      <c r="U276" s="5" t="b">
        <v>0</v>
      </c>
      <c r="V276" s="5" t="b">
        <v>0</v>
      </c>
      <c r="W276" s="5" t="b">
        <v>0</v>
      </c>
      <c r="X276" s="5">
        <v>2</v>
      </c>
      <c r="Y276" s="5">
        <v>2</v>
      </c>
      <c r="Z276" s="5" t="b">
        <v>1</v>
      </c>
      <c r="AA276" s="5">
        <v>4.9504045999999997</v>
      </c>
      <c r="AB276" s="5">
        <v>422.72390877643534</v>
      </c>
    </row>
    <row r="277" spans="2:28" x14ac:dyDescent="0.35">
      <c r="B277" s="5">
        <v>260</v>
      </c>
      <c r="C277" s="5">
        <v>312.98493676077203</v>
      </c>
      <c r="D277" s="5">
        <v>8.6866751046478186</v>
      </c>
      <c r="E277" s="5">
        <v>10.178254730429449</v>
      </c>
      <c r="F277" s="5">
        <v>139.71169160659389</v>
      </c>
      <c r="G277" s="5">
        <v>146.57391197160092</v>
      </c>
      <c r="H277" s="5">
        <v>9.4917339534150944</v>
      </c>
      <c r="I277" s="5">
        <v>1.2524135389584339</v>
      </c>
      <c r="J277" s="5">
        <v>26.547478812900195</v>
      </c>
      <c r="K277" s="5">
        <v>64.677396070379046</v>
      </c>
      <c r="L277" s="5">
        <v>6.6209535843438259</v>
      </c>
      <c r="M277" s="5" t="b">
        <v>0</v>
      </c>
      <c r="N277" s="5" t="b">
        <v>0</v>
      </c>
      <c r="O277" s="5" t="b">
        <v>0</v>
      </c>
      <c r="P277" s="5" t="b">
        <v>0</v>
      </c>
      <c r="Q277" s="5" t="b">
        <v>0</v>
      </c>
      <c r="R277" s="5" t="b">
        <v>0</v>
      </c>
      <c r="S277" s="5" t="b">
        <v>0</v>
      </c>
      <c r="T277" s="5" t="b">
        <v>0</v>
      </c>
      <c r="U277" s="5" t="b">
        <v>0</v>
      </c>
      <c r="V277" s="5" t="b">
        <v>0</v>
      </c>
      <c r="W277" s="5" t="b">
        <v>0</v>
      </c>
      <c r="X277" s="5">
        <v>1</v>
      </c>
      <c r="Y277" s="5">
        <v>2</v>
      </c>
      <c r="Z277" s="5" t="b">
        <v>0</v>
      </c>
      <c r="AA277" s="5">
        <v>4.6715920000000004</v>
      </c>
      <c r="AB277" s="5">
        <v>425.10314476077201</v>
      </c>
    </row>
    <row r="278" spans="2:28" x14ac:dyDescent="0.35">
      <c r="B278" s="5">
        <v>304</v>
      </c>
      <c r="C278" s="5">
        <v>366.71047891110106</v>
      </c>
      <c r="D278" s="5">
        <v>9.5817814478566241</v>
      </c>
      <c r="E278" s="5">
        <v>1.8541819412998315</v>
      </c>
      <c r="F278" s="5">
        <v>138.8277647596733</v>
      </c>
      <c r="G278" s="5">
        <v>133.34535179348407</v>
      </c>
      <c r="H278" s="5">
        <v>8.0450912020616094</v>
      </c>
      <c r="I278" s="5">
        <v>1.0477461441304547</v>
      </c>
      <c r="J278" s="5">
        <v>31.107843223420851</v>
      </c>
      <c r="K278" s="5">
        <v>71.66404954495475</v>
      </c>
      <c r="L278" s="5">
        <v>6.3850277687871957</v>
      </c>
      <c r="M278" s="5" t="b">
        <v>0</v>
      </c>
      <c r="N278" s="5" t="b">
        <v>0</v>
      </c>
      <c r="O278" s="5" t="b">
        <v>0</v>
      </c>
      <c r="P278" s="5" t="b">
        <v>0</v>
      </c>
      <c r="Q278" s="5" t="b">
        <v>0</v>
      </c>
      <c r="R278" s="5" t="b">
        <v>0</v>
      </c>
      <c r="S278" s="5" t="b">
        <v>0</v>
      </c>
      <c r="T278" s="5" t="b">
        <v>0</v>
      </c>
      <c r="U278" s="5" t="b">
        <v>0</v>
      </c>
      <c r="V278" s="5" t="b">
        <v>0</v>
      </c>
      <c r="W278" s="5" t="b">
        <v>0</v>
      </c>
      <c r="X278" s="5">
        <v>1</v>
      </c>
      <c r="Y278" s="5">
        <v>1</v>
      </c>
      <c r="Z278" s="5" t="b">
        <v>0</v>
      </c>
      <c r="AA278" s="5">
        <v>2.5257944999999999</v>
      </c>
      <c r="AB278" s="5">
        <v>427.32954691110109</v>
      </c>
    </row>
    <row r="279" spans="2:28" x14ac:dyDescent="0.35">
      <c r="B279" s="5">
        <v>303</v>
      </c>
      <c r="C279" s="5">
        <v>363.34633063033965</v>
      </c>
      <c r="D279" s="5">
        <v>12.199959129428729</v>
      </c>
      <c r="E279" s="5">
        <v>18.50164488143383</v>
      </c>
      <c r="F279" s="5">
        <v>143.35892409176552</v>
      </c>
      <c r="G279" s="5">
        <v>193.95642551997224</v>
      </c>
      <c r="H279" s="5">
        <v>11.794506861297933</v>
      </c>
      <c r="I279" s="5">
        <v>1.2570693111738267</v>
      </c>
      <c r="J279" s="5">
        <v>28.832063601348313</v>
      </c>
      <c r="K279" s="5">
        <v>67.611564328965542</v>
      </c>
      <c r="L279" s="5">
        <v>6.7905979888948709</v>
      </c>
      <c r="M279" s="5" t="b">
        <v>0</v>
      </c>
      <c r="N279" s="5" t="b">
        <v>0</v>
      </c>
      <c r="O279" s="5" t="b">
        <v>0</v>
      </c>
      <c r="P279" s="5" t="b">
        <v>0</v>
      </c>
      <c r="Q279" s="5" t="b">
        <v>0</v>
      </c>
      <c r="R279" s="5" t="b">
        <v>0</v>
      </c>
      <c r="S279" s="5" t="b">
        <v>0</v>
      </c>
      <c r="T279" s="5" t="b">
        <v>0</v>
      </c>
      <c r="U279" s="5" t="b">
        <v>0</v>
      </c>
      <c r="V279" s="5" t="b">
        <v>0</v>
      </c>
      <c r="W279" s="5" t="b">
        <v>0</v>
      </c>
      <c r="X279" s="5">
        <v>1</v>
      </c>
      <c r="Y279" s="5">
        <v>0</v>
      </c>
      <c r="Z279" s="5" t="b">
        <v>1</v>
      </c>
      <c r="AA279" s="5">
        <v>2.6668612999999999</v>
      </c>
      <c r="AB279" s="5">
        <v>427.35100183033967</v>
      </c>
    </row>
    <row r="280" spans="2:28" x14ac:dyDescent="0.35">
      <c r="B280" s="5">
        <v>275</v>
      </c>
      <c r="C280" s="5">
        <v>337.22925052786957</v>
      </c>
      <c r="D280" s="5">
        <v>9.6340371696105613</v>
      </c>
      <c r="E280" s="5">
        <v>12.318654200694967</v>
      </c>
      <c r="F280" s="5">
        <v>135.48428513091301</v>
      </c>
      <c r="G280" s="5">
        <v>192.73239766949848</v>
      </c>
      <c r="H280" s="5">
        <v>21.297395941332702</v>
      </c>
      <c r="I280" s="5">
        <v>1.0427293351848141</v>
      </c>
      <c r="J280" s="5">
        <v>29.75289708028955</v>
      </c>
      <c r="K280" s="5">
        <v>80.1190282512908</v>
      </c>
      <c r="L280" s="5">
        <v>6.6882974509039865</v>
      </c>
      <c r="M280" s="5" t="b">
        <v>0</v>
      </c>
      <c r="N280" s="5" t="b">
        <v>0</v>
      </c>
      <c r="O280" s="5" t="b">
        <v>0</v>
      </c>
      <c r="P280" s="5" t="b">
        <v>0</v>
      </c>
      <c r="Q280" s="5" t="b">
        <v>0</v>
      </c>
      <c r="R280" s="5" t="b">
        <v>1</v>
      </c>
      <c r="S280" s="5" t="b">
        <v>0</v>
      </c>
      <c r="T280" s="5" t="b">
        <v>0</v>
      </c>
      <c r="U280" s="5" t="b">
        <v>0</v>
      </c>
      <c r="V280" s="5" t="b">
        <v>0</v>
      </c>
      <c r="W280" s="5" t="b">
        <v>0</v>
      </c>
      <c r="X280" s="5">
        <v>2</v>
      </c>
      <c r="Y280" s="5">
        <v>0</v>
      </c>
      <c r="Z280" s="5" t="b">
        <v>1</v>
      </c>
      <c r="AA280" s="5">
        <v>3.7611609999999995</v>
      </c>
      <c r="AB280" s="5">
        <v>427.4971145278696</v>
      </c>
    </row>
    <row r="281" spans="2:28" x14ac:dyDescent="0.35">
      <c r="B281" s="5">
        <v>311</v>
      </c>
      <c r="C281" s="5">
        <v>377.23839323532309</v>
      </c>
      <c r="D281" s="5">
        <v>11.937865150397082</v>
      </c>
      <c r="E281" s="5">
        <v>5.2030652753055362</v>
      </c>
      <c r="F281" s="5">
        <v>133.980149230922</v>
      </c>
      <c r="G281" s="5">
        <v>164.72910029201361</v>
      </c>
      <c r="H281" s="5">
        <v>17.684909221874918</v>
      </c>
      <c r="I281" s="5">
        <v>1.0433361193011548</v>
      </c>
      <c r="J281" s="5">
        <v>30.779493374050055</v>
      </c>
      <c r="K281" s="5">
        <v>70.123449982748426</v>
      </c>
      <c r="L281" s="5">
        <v>5.8626357272045695</v>
      </c>
      <c r="M281" s="5" t="b">
        <v>0</v>
      </c>
      <c r="N281" s="5" t="b">
        <v>0</v>
      </c>
      <c r="O281" s="5" t="b">
        <v>0</v>
      </c>
      <c r="P281" s="5" t="b">
        <v>0</v>
      </c>
      <c r="Q281" s="5" t="b">
        <v>0</v>
      </c>
      <c r="R281" s="5" t="b">
        <v>0</v>
      </c>
      <c r="S281" s="5" t="b">
        <v>0</v>
      </c>
      <c r="T281" s="5" t="b">
        <v>0</v>
      </c>
      <c r="U281" s="5" t="b">
        <v>0</v>
      </c>
      <c r="V281" s="5" t="b">
        <v>0</v>
      </c>
      <c r="W281" s="5" t="b">
        <v>0</v>
      </c>
      <c r="X281" s="5">
        <v>1</v>
      </c>
      <c r="Y281" s="5">
        <v>1</v>
      </c>
      <c r="Z281" s="5" t="b">
        <v>0</v>
      </c>
      <c r="AA281" s="5">
        <v>2.1544496999999998</v>
      </c>
      <c r="AB281" s="5">
        <v>428.9451860353231</v>
      </c>
    </row>
    <row r="282" spans="2:28" x14ac:dyDescent="0.35">
      <c r="B282" s="5">
        <v>306</v>
      </c>
      <c r="C282" s="5">
        <v>367.91552280888823</v>
      </c>
      <c r="D282" s="5">
        <v>11.7040498080435</v>
      </c>
      <c r="E282" s="5">
        <v>4.2705994722778167</v>
      </c>
      <c r="F282" s="5">
        <v>140.09586154699275</v>
      </c>
      <c r="G282" s="5">
        <v>196.74561172901511</v>
      </c>
      <c r="H282" s="5">
        <v>13.140539967345273</v>
      </c>
      <c r="I282" s="5">
        <v>0.93066376449277677</v>
      </c>
      <c r="J282" s="5">
        <v>32.880196628890459</v>
      </c>
      <c r="K282" s="5">
        <v>62.295779632385738</v>
      </c>
      <c r="L282" s="5">
        <v>6.4049129018808335</v>
      </c>
      <c r="M282" s="5" t="b">
        <v>0</v>
      </c>
      <c r="N282" s="5" t="b">
        <v>0</v>
      </c>
      <c r="O282" s="5" t="b">
        <v>0</v>
      </c>
      <c r="P282" s="5" t="b">
        <v>0</v>
      </c>
      <c r="Q282" s="5" t="b">
        <v>0</v>
      </c>
      <c r="R282" s="5" t="b">
        <v>0</v>
      </c>
      <c r="S282" s="5" t="b">
        <v>0</v>
      </c>
      <c r="T282" s="5" t="b">
        <v>0</v>
      </c>
      <c r="U282" s="5" t="b">
        <v>0</v>
      </c>
      <c r="V282" s="5" t="b">
        <v>0</v>
      </c>
      <c r="W282" s="5" t="b">
        <v>0</v>
      </c>
      <c r="X282" s="5">
        <v>2</v>
      </c>
      <c r="Y282" s="5">
        <v>1</v>
      </c>
      <c r="Z282" s="5" t="b">
        <v>0</v>
      </c>
      <c r="AA282" s="5">
        <v>2.5592440000000001</v>
      </c>
      <c r="AB282" s="5">
        <v>429.33737880888822</v>
      </c>
    </row>
    <row r="283" spans="2:28" x14ac:dyDescent="0.35">
      <c r="B283" s="5">
        <v>263</v>
      </c>
      <c r="C283" s="5">
        <v>316.33988301230164</v>
      </c>
      <c r="D283" s="5">
        <v>14.095174605185875</v>
      </c>
      <c r="E283" s="5">
        <v>19.353474984278925</v>
      </c>
      <c r="F283" s="5">
        <v>140.83990554982952</v>
      </c>
      <c r="G283" s="5">
        <v>127.94032144920899</v>
      </c>
      <c r="H283" s="5">
        <v>31.889134970027136</v>
      </c>
      <c r="I283" s="5">
        <v>0.92307754133127373</v>
      </c>
      <c r="J283" s="5">
        <v>31.541592490904907</v>
      </c>
      <c r="K283" s="5">
        <v>70.81756140891892</v>
      </c>
      <c r="L283" s="5">
        <v>5.949751007640077</v>
      </c>
      <c r="M283" s="5" t="b">
        <v>0</v>
      </c>
      <c r="N283" s="5" t="b">
        <v>0</v>
      </c>
      <c r="O283" s="5" t="b">
        <v>0</v>
      </c>
      <c r="P283" s="5" t="b">
        <v>0</v>
      </c>
      <c r="Q283" s="5" t="b">
        <v>0</v>
      </c>
      <c r="R283" s="5" t="b">
        <v>1</v>
      </c>
      <c r="S283" s="5" t="b">
        <v>0</v>
      </c>
      <c r="T283" s="5" t="b">
        <v>0</v>
      </c>
      <c r="U283" s="5" t="b">
        <v>0</v>
      </c>
      <c r="V283" s="5" t="b">
        <v>0</v>
      </c>
      <c r="W283" s="5" t="b">
        <v>0</v>
      </c>
      <c r="X283" s="5">
        <v>2</v>
      </c>
      <c r="Y283" s="5">
        <v>0</v>
      </c>
      <c r="Z283" s="5" t="b">
        <v>0</v>
      </c>
      <c r="AA283" s="5">
        <v>4.7387724000000002</v>
      </c>
      <c r="AB283" s="5">
        <v>430.07042061230163</v>
      </c>
    </row>
    <row r="284" spans="2:28" x14ac:dyDescent="0.35">
      <c r="B284" s="5">
        <v>273</v>
      </c>
      <c r="C284" s="5">
        <v>335.45850631744759</v>
      </c>
      <c r="D284" s="5">
        <v>14.315264557777688</v>
      </c>
      <c r="E284" s="5">
        <v>15.423699614880874</v>
      </c>
      <c r="F284" s="5">
        <v>136.16519742358059</v>
      </c>
      <c r="G284" s="5">
        <v>131.07811241097949</v>
      </c>
      <c r="H284" s="5">
        <v>38.741104192967292</v>
      </c>
      <c r="I284" s="5">
        <v>1.1103212194751564</v>
      </c>
      <c r="J284" s="5">
        <v>30.385444961361319</v>
      </c>
      <c r="K284" s="5">
        <v>73.568965804968713</v>
      </c>
      <c r="L284" s="5">
        <v>6.4565980421357301</v>
      </c>
      <c r="M284" s="5" t="b">
        <v>0</v>
      </c>
      <c r="N284" s="5" t="b">
        <v>0</v>
      </c>
      <c r="O284" s="5" t="b">
        <v>0</v>
      </c>
      <c r="P284" s="5" t="b">
        <v>1</v>
      </c>
      <c r="Q284" s="5" t="b">
        <v>0</v>
      </c>
      <c r="R284" s="5" t="b">
        <v>1</v>
      </c>
      <c r="S284" s="5" t="b">
        <v>0</v>
      </c>
      <c r="T284" s="5" t="b">
        <v>0</v>
      </c>
      <c r="U284" s="5" t="b">
        <v>0</v>
      </c>
      <c r="V284" s="5" t="b">
        <v>0</v>
      </c>
      <c r="W284" s="5" t="b">
        <v>0</v>
      </c>
      <c r="X284" s="5">
        <v>1</v>
      </c>
      <c r="Y284" s="5">
        <v>0</v>
      </c>
      <c r="Z284" s="5" t="b">
        <v>0</v>
      </c>
      <c r="AA284" s="5">
        <v>4.0168723999999996</v>
      </c>
      <c r="AB284" s="5">
        <v>431.86344391744757</v>
      </c>
    </row>
    <row r="285" spans="2:28" x14ac:dyDescent="0.35">
      <c r="B285" s="5">
        <v>278</v>
      </c>
      <c r="C285" s="5">
        <v>339.31967226348866</v>
      </c>
      <c r="D285" s="5">
        <v>12.833420098473821</v>
      </c>
      <c r="E285" s="5">
        <v>9.8627331131933271</v>
      </c>
      <c r="F285" s="5">
        <v>140.47860599482587</v>
      </c>
      <c r="G285" s="5">
        <v>166.39157432553804</v>
      </c>
      <c r="H285" s="5">
        <v>6.4962894609785966</v>
      </c>
      <c r="I285" s="5">
        <v>0.93533828108037098</v>
      </c>
      <c r="J285" s="5">
        <v>30.64630046296384</v>
      </c>
      <c r="K285" s="5">
        <v>70.229223084968183</v>
      </c>
      <c r="L285" s="5">
        <v>7.3072761460271192</v>
      </c>
      <c r="M285" s="5" t="b">
        <v>0</v>
      </c>
      <c r="N285" s="5" t="b">
        <v>0</v>
      </c>
      <c r="O285" s="5" t="b">
        <v>1</v>
      </c>
      <c r="P285" s="5" t="b">
        <v>0</v>
      </c>
      <c r="Q285" s="5" t="b">
        <v>0</v>
      </c>
      <c r="R285" s="5" t="b">
        <v>0</v>
      </c>
      <c r="S285" s="5" t="b">
        <v>0</v>
      </c>
      <c r="T285" s="5" t="b">
        <v>0</v>
      </c>
      <c r="U285" s="5" t="b">
        <v>0</v>
      </c>
      <c r="V285" s="5" t="b">
        <v>0</v>
      </c>
      <c r="W285" s="5" t="b">
        <v>0</v>
      </c>
      <c r="X285" s="5">
        <v>1</v>
      </c>
      <c r="Y285" s="5">
        <v>1</v>
      </c>
      <c r="Z285" s="5" t="b">
        <v>1</v>
      </c>
      <c r="AA285" s="5">
        <v>3.911041</v>
      </c>
      <c r="AB285" s="5">
        <v>433.18465626348865</v>
      </c>
    </row>
    <row r="286" spans="2:28" x14ac:dyDescent="0.35">
      <c r="B286" s="5">
        <v>264</v>
      </c>
      <c r="C286" s="5">
        <v>318.93655170483845</v>
      </c>
      <c r="D286" s="5">
        <v>11.905630784603048</v>
      </c>
      <c r="E286" s="5">
        <v>3.175911608740865</v>
      </c>
      <c r="F286" s="5">
        <v>133.75509077264149</v>
      </c>
      <c r="G286" s="5">
        <v>161.02834199363332</v>
      </c>
      <c r="H286" s="5">
        <v>9.3100292899241204</v>
      </c>
      <c r="I286" s="5">
        <v>1.0576514899332559</v>
      </c>
      <c r="J286" s="5">
        <v>28.422052685040359</v>
      </c>
      <c r="K286" s="5">
        <v>89.872454875946062</v>
      </c>
      <c r="L286" s="5">
        <v>7.2045466796622293</v>
      </c>
      <c r="M286" s="5" t="b">
        <v>0</v>
      </c>
      <c r="N286" s="5" t="b">
        <v>0</v>
      </c>
      <c r="O286" s="5" t="b">
        <v>0</v>
      </c>
      <c r="P286" s="5" t="b">
        <v>0</v>
      </c>
      <c r="Q286" s="5" t="b">
        <v>0</v>
      </c>
      <c r="R286" s="5" t="b">
        <v>0</v>
      </c>
      <c r="S286" s="5" t="b">
        <v>0</v>
      </c>
      <c r="T286" s="5" t="b">
        <v>0</v>
      </c>
      <c r="U286" s="5" t="b">
        <v>0</v>
      </c>
      <c r="V286" s="5" t="b">
        <v>0</v>
      </c>
      <c r="W286" s="5" t="b">
        <v>0</v>
      </c>
      <c r="X286" s="5">
        <v>1</v>
      </c>
      <c r="Y286" s="5">
        <v>1</v>
      </c>
      <c r="Z286" s="5" t="b">
        <v>0</v>
      </c>
      <c r="AA286" s="5">
        <v>4.809939</v>
      </c>
      <c r="AB286" s="5">
        <v>434.37508770483845</v>
      </c>
    </row>
    <row r="287" spans="2:28" x14ac:dyDescent="0.35">
      <c r="B287" s="5">
        <v>322</v>
      </c>
      <c r="C287" s="5">
        <v>397.46193785109421</v>
      </c>
      <c r="D287" s="5">
        <v>11.891931807917075</v>
      </c>
      <c r="E287" s="5">
        <v>12.602058234938518</v>
      </c>
      <c r="F287" s="5">
        <v>135.28443419123806</v>
      </c>
      <c r="G287" s="5">
        <v>109.47307196585437</v>
      </c>
      <c r="H287" s="5">
        <v>18.952553373136489</v>
      </c>
      <c r="I287" s="5">
        <v>1.3397131485408176</v>
      </c>
      <c r="J287" s="5">
        <v>28.172694381707007</v>
      </c>
      <c r="K287" s="5">
        <v>41.654552144957776</v>
      </c>
      <c r="L287" s="5">
        <v>6.3523859814890864</v>
      </c>
      <c r="M287" s="5" t="b">
        <v>0</v>
      </c>
      <c r="N287" s="5" t="b">
        <v>0</v>
      </c>
      <c r="O287" s="5" t="b">
        <v>0</v>
      </c>
      <c r="P287" s="5" t="b">
        <v>0</v>
      </c>
      <c r="Q287" s="5" t="b">
        <v>0</v>
      </c>
      <c r="R287" s="5" t="b">
        <v>0</v>
      </c>
      <c r="S287" s="5" t="b">
        <v>0</v>
      </c>
      <c r="T287" s="5" t="b">
        <v>0</v>
      </c>
      <c r="U287" s="5" t="b">
        <v>0</v>
      </c>
      <c r="V287" s="5" t="b">
        <v>0</v>
      </c>
      <c r="W287" s="5" t="b">
        <v>0</v>
      </c>
      <c r="X287" s="5">
        <v>1</v>
      </c>
      <c r="Y287" s="5">
        <v>0</v>
      </c>
      <c r="Z287" s="5" t="b">
        <v>0</v>
      </c>
      <c r="AA287" s="5">
        <v>1.6827908000000003</v>
      </c>
      <c r="AB287" s="5">
        <v>437.84891705109419</v>
      </c>
    </row>
    <row r="288" spans="2:28" x14ac:dyDescent="0.35">
      <c r="B288" s="5">
        <v>309</v>
      </c>
      <c r="C288" s="5">
        <v>375.36108699146718</v>
      </c>
      <c r="D288" s="5">
        <v>12.553968967207242</v>
      </c>
      <c r="E288" s="5">
        <v>4.5028173373297404</v>
      </c>
      <c r="F288" s="5">
        <v>138.61111768860201</v>
      </c>
      <c r="G288" s="5">
        <v>167.31501751779123</v>
      </c>
      <c r="H288" s="5">
        <v>26.092278645627196</v>
      </c>
      <c r="I288" s="5">
        <v>1.1615810699677984</v>
      </c>
      <c r="J288" s="5">
        <v>26.740061929940563</v>
      </c>
      <c r="K288" s="5">
        <v>54.664950245790855</v>
      </c>
      <c r="L288" s="5">
        <v>5.9766600436812443</v>
      </c>
      <c r="M288" s="5" t="b">
        <v>0</v>
      </c>
      <c r="N288" s="5" t="b">
        <v>0</v>
      </c>
      <c r="O288" s="5" t="b">
        <v>0</v>
      </c>
      <c r="P288" s="5" t="b">
        <v>0</v>
      </c>
      <c r="Q288" s="5" t="b">
        <v>0</v>
      </c>
      <c r="R288" s="5" t="b">
        <v>0</v>
      </c>
      <c r="S288" s="5" t="b">
        <v>0</v>
      </c>
      <c r="T288" s="5" t="b">
        <v>0</v>
      </c>
      <c r="U288" s="5" t="b">
        <v>0</v>
      </c>
      <c r="V288" s="5" t="b">
        <v>0</v>
      </c>
      <c r="W288" s="5" t="b">
        <v>0</v>
      </c>
      <c r="X288" s="5">
        <v>2</v>
      </c>
      <c r="Y288" s="5">
        <v>1</v>
      </c>
      <c r="Z288" s="5" t="b">
        <v>0</v>
      </c>
      <c r="AA288" s="5">
        <v>2.6186535000000002</v>
      </c>
      <c r="AB288" s="5">
        <v>438.20877099146719</v>
      </c>
    </row>
    <row r="289" spans="2:28" x14ac:dyDescent="0.35">
      <c r="B289" s="5">
        <v>283</v>
      </c>
      <c r="C289" s="5">
        <v>343.17757398888557</v>
      </c>
      <c r="D289" s="5">
        <v>10.948612396683542</v>
      </c>
      <c r="E289" s="5">
        <v>18.507414481092589</v>
      </c>
      <c r="F289" s="5">
        <v>140.55466487999993</v>
      </c>
      <c r="G289" s="5">
        <v>146.96052118885635</v>
      </c>
      <c r="H289" s="5">
        <v>28.847635666001931</v>
      </c>
      <c r="I289" s="5">
        <v>0.76616496667826139</v>
      </c>
      <c r="J289" s="5">
        <v>29.163589943073433</v>
      </c>
      <c r="K289" s="5">
        <v>75.100015629983162</v>
      </c>
      <c r="L289" s="5">
        <v>5.849410889997225</v>
      </c>
      <c r="M289" s="5" t="b">
        <v>0</v>
      </c>
      <c r="N289" s="5" t="b">
        <v>0</v>
      </c>
      <c r="O289" s="5" t="b">
        <v>0</v>
      </c>
      <c r="P289" s="5" t="b">
        <v>0</v>
      </c>
      <c r="Q289" s="5" t="b">
        <v>0</v>
      </c>
      <c r="R289" s="5" t="b">
        <v>0</v>
      </c>
      <c r="S289" s="5" t="b">
        <v>0</v>
      </c>
      <c r="T289" s="5" t="b">
        <v>0</v>
      </c>
      <c r="U289" s="5" t="b">
        <v>0</v>
      </c>
      <c r="V289" s="5" t="b">
        <v>0</v>
      </c>
      <c r="W289" s="5" t="b">
        <v>0</v>
      </c>
      <c r="X289" s="5">
        <v>2</v>
      </c>
      <c r="Y289" s="5">
        <v>1</v>
      </c>
      <c r="Z289" s="5" t="b">
        <v>0</v>
      </c>
      <c r="AA289" s="5">
        <v>4.0045156000000004</v>
      </c>
      <c r="AB289" s="5">
        <v>439.28594838888557</v>
      </c>
    </row>
    <row r="290" spans="2:28" x14ac:dyDescent="0.35">
      <c r="B290" s="5">
        <v>307</v>
      </c>
      <c r="C290" s="5">
        <v>369.40108316694352</v>
      </c>
      <c r="D290" s="5">
        <v>11.447675621446951</v>
      </c>
      <c r="E290" s="5">
        <v>11.02514259538396</v>
      </c>
      <c r="F290" s="5">
        <v>139.16938680237664</v>
      </c>
      <c r="G290" s="5">
        <v>116.97070846540782</v>
      </c>
      <c r="H290" s="5">
        <v>20.772809481187362</v>
      </c>
      <c r="I290" s="5">
        <v>1.3969497595302889</v>
      </c>
      <c r="J290" s="5">
        <v>28.275581386037054</v>
      </c>
      <c r="K290" s="5">
        <v>74.493600777337505</v>
      </c>
      <c r="L290" s="5">
        <v>6.3766879077848211</v>
      </c>
      <c r="M290" s="5" t="b">
        <v>0</v>
      </c>
      <c r="N290" s="5" t="b">
        <v>0</v>
      </c>
      <c r="O290" s="5" t="b">
        <v>0</v>
      </c>
      <c r="P290" s="5" t="b">
        <v>0</v>
      </c>
      <c r="Q290" s="5" t="b">
        <v>0</v>
      </c>
      <c r="R290" s="5" t="b">
        <v>1</v>
      </c>
      <c r="S290" s="5" t="b">
        <v>0</v>
      </c>
      <c r="T290" s="5" t="b">
        <v>0</v>
      </c>
      <c r="U290" s="5" t="b">
        <v>0</v>
      </c>
      <c r="V290" s="5" t="b">
        <v>0</v>
      </c>
      <c r="W290" s="5" t="b">
        <v>0</v>
      </c>
      <c r="X290" s="5">
        <v>3</v>
      </c>
      <c r="Y290" s="5">
        <v>0</v>
      </c>
      <c r="Z290" s="5" t="b">
        <v>1</v>
      </c>
      <c r="AA290" s="5">
        <v>2.940156</v>
      </c>
      <c r="AB290" s="5">
        <v>439.96482716694351</v>
      </c>
    </row>
    <row r="291" spans="2:28" x14ac:dyDescent="0.35">
      <c r="B291" s="5">
        <v>344</v>
      </c>
      <c r="C291" s="5">
        <v>421.32635028967388</v>
      </c>
      <c r="D291" s="5">
        <v>12.982321961658041</v>
      </c>
      <c r="E291" s="5">
        <v>14.124372230070755</v>
      </c>
      <c r="F291" s="5">
        <v>135.72837684263044</v>
      </c>
      <c r="G291" s="5">
        <v>158.6969097950136</v>
      </c>
      <c r="H291" s="5">
        <v>14.455714353660074</v>
      </c>
      <c r="I291" s="5">
        <v>1.2686189046832057</v>
      </c>
      <c r="J291" s="5">
        <v>27.12138214566988</v>
      </c>
      <c r="K291" s="5">
        <v>64.219624282521764</v>
      </c>
      <c r="L291" s="5">
        <v>6.5410892770876101</v>
      </c>
      <c r="M291" s="5" t="b">
        <v>0</v>
      </c>
      <c r="N291" s="5" t="b">
        <v>0</v>
      </c>
      <c r="O291" s="5" t="b">
        <v>0</v>
      </c>
      <c r="P291" s="5" t="b">
        <v>0</v>
      </c>
      <c r="Q291" s="5" t="b">
        <v>0</v>
      </c>
      <c r="R291" s="5" t="b">
        <v>0</v>
      </c>
      <c r="S291" s="5" t="b">
        <v>0</v>
      </c>
      <c r="T291" s="5" t="b">
        <v>0</v>
      </c>
      <c r="U291" s="5" t="b">
        <v>0</v>
      </c>
      <c r="V291" s="5" t="b">
        <v>0</v>
      </c>
      <c r="W291" s="5" t="b">
        <v>0</v>
      </c>
      <c r="X291" s="5">
        <v>1</v>
      </c>
      <c r="Y291" s="5">
        <v>0</v>
      </c>
      <c r="Z291" s="5" t="b">
        <v>0</v>
      </c>
      <c r="AA291" s="5">
        <v>1.0000684</v>
      </c>
      <c r="AB291" s="5">
        <v>445.32799188967385</v>
      </c>
    </row>
    <row r="292" spans="2:28" x14ac:dyDescent="0.35">
      <c r="B292" s="5">
        <v>272</v>
      </c>
      <c r="C292" s="5">
        <v>333.26031958904156</v>
      </c>
      <c r="D292" s="5">
        <v>13.810410478950105</v>
      </c>
      <c r="E292" s="5">
        <v>9.8788794207033774</v>
      </c>
      <c r="F292" s="5">
        <v>139.69477390306434</v>
      </c>
      <c r="G292" s="5">
        <v>119.95315994226991</v>
      </c>
      <c r="H292" s="5">
        <v>10.265004672545322</v>
      </c>
      <c r="I292" s="5">
        <v>1.252042507880661</v>
      </c>
      <c r="J292" s="5">
        <v>29.013460453363003</v>
      </c>
      <c r="K292" s="5">
        <v>67.715183182681315</v>
      </c>
      <c r="L292" s="5">
        <v>5.4376922164784354</v>
      </c>
      <c r="M292" s="5" t="b">
        <v>0</v>
      </c>
      <c r="N292" s="5" t="b">
        <v>0</v>
      </c>
      <c r="O292" s="5" t="b">
        <v>0</v>
      </c>
      <c r="P292" s="5" t="b">
        <v>0</v>
      </c>
      <c r="Q292" s="5" t="b">
        <v>0</v>
      </c>
      <c r="R292" s="5" t="b">
        <v>0</v>
      </c>
      <c r="S292" s="5" t="b">
        <v>0</v>
      </c>
      <c r="T292" s="5" t="b">
        <v>0</v>
      </c>
      <c r="U292" s="5" t="b">
        <v>1</v>
      </c>
      <c r="V292" s="5" t="b">
        <v>0</v>
      </c>
      <c r="W292" s="5" t="b">
        <v>0</v>
      </c>
      <c r="X292" s="5">
        <v>1</v>
      </c>
      <c r="Y292" s="5">
        <v>1</v>
      </c>
      <c r="Z292" s="5" t="b">
        <v>1</v>
      </c>
      <c r="AA292" s="5">
        <v>4.6843120000000003</v>
      </c>
      <c r="AB292" s="5">
        <v>445.68380758904158</v>
      </c>
    </row>
    <row r="293" spans="2:28" x14ac:dyDescent="0.35">
      <c r="B293" s="5">
        <v>262</v>
      </c>
      <c r="C293" s="5">
        <v>314.97386577395213</v>
      </c>
      <c r="D293" s="5">
        <v>12.517435749435251</v>
      </c>
      <c r="E293" s="5">
        <v>4.242603324418317</v>
      </c>
      <c r="F293" s="5">
        <v>137.78831634748789</v>
      </c>
      <c r="G293" s="5">
        <v>132.84417091298494</v>
      </c>
      <c r="H293" s="5">
        <v>6.5662574846957664</v>
      </c>
      <c r="I293" s="5">
        <v>0.93351056804407828</v>
      </c>
      <c r="J293" s="5">
        <v>25.607010427379386</v>
      </c>
      <c r="K293" s="5">
        <v>94.13582056075758</v>
      </c>
      <c r="L293" s="5">
        <v>7.3054340862881206</v>
      </c>
      <c r="M293" s="5" t="b">
        <v>0</v>
      </c>
      <c r="N293" s="5" t="b">
        <v>0</v>
      </c>
      <c r="O293" s="5" t="b">
        <v>0</v>
      </c>
      <c r="P293" s="5" t="b">
        <v>0</v>
      </c>
      <c r="Q293" s="5" t="b">
        <v>0</v>
      </c>
      <c r="R293" s="5" t="b">
        <v>1</v>
      </c>
      <c r="S293" s="5" t="b">
        <v>0</v>
      </c>
      <c r="T293" s="5" t="b">
        <v>1</v>
      </c>
      <c r="U293" s="5" t="b">
        <v>0</v>
      </c>
      <c r="V293" s="5" t="b">
        <v>0</v>
      </c>
      <c r="W293" s="5" t="b">
        <v>0</v>
      </c>
      <c r="X293" s="5">
        <v>2</v>
      </c>
      <c r="Y293" s="5">
        <v>0</v>
      </c>
      <c r="Z293" s="5" t="b">
        <v>0</v>
      </c>
      <c r="AA293" s="5">
        <v>5.4493499999999999</v>
      </c>
      <c r="AB293" s="5">
        <v>445.75826577395208</v>
      </c>
    </row>
    <row r="294" spans="2:28" x14ac:dyDescent="0.35">
      <c r="B294" s="5">
        <v>346</v>
      </c>
      <c r="C294" s="5">
        <v>422.72390877643534</v>
      </c>
      <c r="D294" s="5">
        <v>11.90176763523756</v>
      </c>
      <c r="E294" s="5">
        <v>11.746827312208513</v>
      </c>
      <c r="F294" s="5">
        <v>138.68691571969725</v>
      </c>
      <c r="G294" s="5">
        <v>171.19330866159527</v>
      </c>
      <c r="H294" s="5">
        <v>19.891171140190501</v>
      </c>
      <c r="I294" s="5">
        <v>0.93499674643818387</v>
      </c>
      <c r="J294" s="5">
        <v>31.372460673195505</v>
      </c>
      <c r="K294" s="5">
        <v>80.83701892203716</v>
      </c>
      <c r="L294" s="5">
        <v>5.842033635285687</v>
      </c>
      <c r="M294" s="5" t="b">
        <v>0</v>
      </c>
      <c r="N294" s="5" t="b">
        <v>0</v>
      </c>
      <c r="O294" s="5" t="b">
        <v>0</v>
      </c>
      <c r="P294" s="5" t="b">
        <v>0</v>
      </c>
      <c r="Q294" s="5" t="b">
        <v>0</v>
      </c>
      <c r="R294" s="5" t="b">
        <v>0</v>
      </c>
      <c r="S294" s="5" t="b">
        <v>0</v>
      </c>
      <c r="T294" s="5" t="b">
        <v>0</v>
      </c>
      <c r="U294" s="5" t="b">
        <v>0</v>
      </c>
      <c r="V294" s="5" t="b">
        <v>0</v>
      </c>
      <c r="W294" s="5" t="b">
        <v>0</v>
      </c>
      <c r="X294" s="5">
        <v>0</v>
      </c>
      <c r="Y294" s="5">
        <v>0</v>
      </c>
      <c r="Z294" s="5" t="b">
        <v>0</v>
      </c>
      <c r="AA294" s="5">
        <v>1.0527962</v>
      </c>
      <c r="AB294" s="5">
        <v>447.99101757643535</v>
      </c>
    </row>
    <row r="295" spans="2:28" x14ac:dyDescent="0.35">
      <c r="B295" s="5">
        <v>294</v>
      </c>
      <c r="C295" s="5">
        <v>355.6101430983461</v>
      </c>
      <c r="D295" s="5">
        <v>11.994855857355981</v>
      </c>
      <c r="E295" s="5">
        <v>11.028736283184891</v>
      </c>
      <c r="F295" s="5">
        <v>138.01112622903139</v>
      </c>
      <c r="G295" s="5">
        <v>149.93774285004565</v>
      </c>
      <c r="H295" s="5">
        <v>13.528255186498331</v>
      </c>
      <c r="I295" s="5">
        <v>1.252663982095322</v>
      </c>
      <c r="J295" s="5">
        <v>29.688984645119017</v>
      </c>
      <c r="K295" s="5">
        <v>105.47698988504126</v>
      </c>
      <c r="L295" s="5">
        <v>6.3128038136583475</v>
      </c>
      <c r="M295" s="5" t="b">
        <v>0</v>
      </c>
      <c r="N295" s="5" t="b">
        <v>0</v>
      </c>
      <c r="O295" s="5" t="b">
        <v>0</v>
      </c>
      <c r="P295" s="5" t="b">
        <v>0</v>
      </c>
      <c r="Q295" s="5" t="b">
        <v>0</v>
      </c>
      <c r="R295" s="5" t="b">
        <v>1</v>
      </c>
      <c r="S295" s="5" t="b">
        <v>0</v>
      </c>
      <c r="T295" s="5" t="b">
        <v>0</v>
      </c>
      <c r="U295" s="5" t="b">
        <v>0</v>
      </c>
      <c r="V295" s="5" t="b">
        <v>0</v>
      </c>
      <c r="W295" s="5" t="b">
        <v>0</v>
      </c>
      <c r="X295" s="5">
        <v>2</v>
      </c>
      <c r="Y295" s="5">
        <v>1</v>
      </c>
      <c r="Z295" s="5" t="b">
        <v>0</v>
      </c>
      <c r="AA295" s="5">
        <v>3.9445335999999998</v>
      </c>
      <c r="AB295" s="5">
        <v>450.27894949834609</v>
      </c>
    </row>
    <row r="296" spans="2:28" x14ac:dyDescent="0.35">
      <c r="B296" s="5">
        <v>285</v>
      </c>
      <c r="C296" s="5">
        <v>345.28886919387895</v>
      </c>
      <c r="D296" s="5">
        <v>13.094555035557766</v>
      </c>
      <c r="E296" s="5">
        <v>13.013860496583868</v>
      </c>
      <c r="F296" s="5">
        <v>135.13966021606521</v>
      </c>
      <c r="G296" s="5">
        <v>141.46364055126099</v>
      </c>
      <c r="H296" s="5">
        <v>29.193328933474703</v>
      </c>
      <c r="I296" s="5">
        <v>0.7316328131014358</v>
      </c>
      <c r="J296" s="5">
        <v>29.975827149385097</v>
      </c>
      <c r="K296" s="5">
        <v>66.269579354393827</v>
      </c>
      <c r="L296" s="5">
        <v>7.1041252106347992</v>
      </c>
      <c r="M296" s="5" t="b">
        <v>0</v>
      </c>
      <c r="N296" s="5" t="b">
        <v>0</v>
      </c>
      <c r="O296" s="5" t="b">
        <v>0</v>
      </c>
      <c r="P296" s="5" t="b">
        <v>0</v>
      </c>
      <c r="Q296" s="5" t="b">
        <v>0</v>
      </c>
      <c r="R296" s="5" t="b">
        <v>1</v>
      </c>
      <c r="S296" s="5" t="b">
        <v>0</v>
      </c>
      <c r="T296" s="5" t="b">
        <v>0</v>
      </c>
      <c r="U296" s="5" t="b">
        <v>0</v>
      </c>
      <c r="V296" s="5" t="b">
        <v>0</v>
      </c>
      <c r="W296" s="5" t="b">
        <v>0</v>
      </c>
      <c r="X296" s="5">
        <v>1</v>
      </c>
      <c r="Y296" s="5">
        <v>1</v>
      </c>
      <c r="Z296" s="5" t="b">
        <v>0</v>
      </c>
      <c r="AA296" s="5">
        <v>4.4270085999999997</v>
      </c>
      <c r="AB296" s="5">
        <v>451.53707559387897</v>
      </c>
    </row>
    <row r="297" spans="2:28" x14ac:dyDescent="0.35">
      <c r="B297" s="5">
        <v>324</v>
      </c>
      <c r="C297" s="5">
        <v>400.41096817222672</v>
      </c>
      <c r="D297" s="5">
        <v>11.862922420282189</v>
      </c>
      <c r="E297" s="5">
        <v>11.859323692441537</v>
      </c>
      <c r="F297" s="5">
        <v>139.50719716693146</v>
      </c>
      <c r="G297" s="5">
        <v>181.19191571926842</v>
      </c>
      <c r="H297" s="5">
        <v>7.6830812887917732</v>
      </c>
      <c r="I297" s="5">
        <v>1.2469517928030351</v>
      </c>
      <c r="J297" s="5">
        <v>29.021560233781663</v>
      </c>
      <c r="K297" s="5">
        <v>60.174435324706664</v>
      </c>
      <c r="L297" s="5">
        <v>7.2891528869611948</v>
      </c>
      <c r="M297" s="5" t="b">
        <v>0</v>
      </c>
      <c r="N297" s="5" t="b">
        <v>0</v>
      </c>
      <c r="O297" s="5" t="b">
        <v>0</v>
      </c>
      <c r="P297" s="5" t="b">
        <v>0</v>
      </c>
      <c r="Q297" s="5" t="b">
        <v>0</v>
      </c>
      <c r="R297" s="5" t="b">
        <v>0</v>
      </c>
      <c r="S297" s="5" t="b">
        <v>0</v>
      </c>
      <c r="T297" s="5" t="b">
        <v>0</v>
      </c>
      <c r="U297" s="5" t="b">
        <v>0</v>
      </c>
      <c r="V297" s="5" t="b">
        <v>0</v>
      </c>
      <c r="W297" s="5" t="b">
        <v>0</v>
      </c>
      <c r="X297" s="5">
        <v>1</v>
      </c>
      <c r="Y297" s="5">
        <v>0</v>
      </c>
      <c r="Z297" s="5" t="b">
        <v>1</v>
      </c>
      <c r="AA297" s="5">
        <v>2.2314333999999998</v>
      </c>
      <c r="AB297" s="5">
        <v>453.96536977222672</v>
      </c>
    </row>
    <row r="298" spans="2:28" x14ac:dyDescent="0.35">
      <c r="B298" s="5">
        <v>248</v>
      </c>
      <c r="C298" s="5">
        <v>291.0915664140482</v>
      </c>
      <c r="D298" s="5">
        <v>11.364798722341765</v>
      </c>
      <c r="E298" s="5">
        <v>3.4399655195895198</v>
      </c>
      <c r="F298" s="5">
        <v>133.09110147415464</v>
      </c>
      <c r="G298" s="5">
        <v>161.93473544045222</v>
      </c>
      <c r="H298" s="5">
        <v>9.4660951435414837</v>
      </c>
      <c r="I298" s="5">
        <v>1.291433647455388</v>
      </c>
      <c r="J298" s="5">
        <v>35.16239098745109</v>
      </c>
      <c r="K298" s="5">
        <v>84.364153523025706</v>
      </c>
      <c r="L298" s="5">
        <v>7.2151210572140352</v>
      </c>
      <c r="M298" s="5" t="b">
        <v>0</v>
      </c>
      <c r="N298" s="5" t="b">
        <v>0</v>
      </c>
      <c r="O298" s="5" t="b">
        <v>0</v>
      </c>
      <c r="P298" s="5" t="b">
        <v>0</v>
      </c>
      <c r="Q298" s="5" t="b">
        <v>0</v>
      </c>
      <c r="R298" s="5" t="b">
        <v>0</v>
      </c>
      <c r="S298" s="5" t="b">
        <v>1</v>
      </c>
      <c r="T298" s="5" t="b">
        <v>0</v>
      </c>
      <c r="U298" s="5" t="b">
        <v>0</v>
      </c>
      <c r="V298" s="5" t="b">
        <v>0</v>
      </c>
      <c r="W298" s="5" t="b">
        <v>0</v>
      </c>
      <c r="X298" s="5">
        <v>2</v>
      </c>
      <c r="Y298" s="5">
        <v>1</v>
      </c>
      <c r="Z298" s="5" t="b">
        <v>1</v>
      </c>
      <c r="AA298" s="5">
        <v>6.8480067</v>
      </c>
      <c r="AB298" s="5">
        <v>455.44372721404818</v>
      </c>
    </row>
    <row r="299" spans="2:28" x14ac:dyDescent="0.35">
      <c r="B299" s="5">
        <v>337</v>
      </c>
      <c r="C299" s="5">
        <v>410.8219856264891</v>
      </c>
      <c r="D299" s="5">
        <v>10.923917410719952</v>
      </c>
      <c r="E299" s="5">
        <v>9.9179651996421097</v>
      </c>
      <c r="F299" s="5">
        <v>138.25606197602067</v>
      </c>
      <c r="G299" s="5">
        <v>148.60126015111618</v>
      </c>
      <c r="H299" s="5">
        <v>3.3097048328721979</v>
      </c>
      <c r="I299" s="5">
        <v>0.97775983413995282</v>
      </c>
      <c r="J299" s="5">
        <v>27.682160842180192</v>
      </c>
      <c r="K299" s="5">
        <v>64.235555451990834</v>
      </c>
      <c r="L299" s="5">
        <v>6.2344565241011081</v>
      </c>
      <c r="M299" s="5" t="b">
        <v>0</v>
      </c>
      <c r="N299" s="5" t="b">
        <v>0</v>
      </c>
      <c r="O299" s="5" t="b">
        <v>0</v>
      </c>
      <c r="P299" s="5" t="b">
        <v>0</v>
      </c>
      <c r="Q299" s="5" t="b">
        <v>0</v>
      </c>
      <c r="R299" s="5" t="b">
        <v>0</v>
      </c>
      <c r="S299" s="5" t="b">
        <v>0</v>
      </c>
      <c r="T299" s="5" t="b">
        <v>0</v>
      </c>
      <c r="U299" s="5" t="b">
        <v>0</v>
      </c>
      <c r="V299" s="5" t="b">
        <v>0</v>
      </c>
      <c r="W299" s="5" t="b">
        <v>0</v>
      </c>
      <c r="X299" s="5">
        <v>1</v>
      </c>
      <c r="Y299" s="5">
        <v>1</v>
      </c>
      <c r="Z299" s="5" t="b">
        <v>0</v>
      </c>
      <c r="AA299" s="5">
        <v>1.9155338</v>
      </c>
      <c r="AB299" s="5">
        <v>456.79479682648912</v>
      </c>
    </row>
    <row r="300" spans="2:28" x14ac:dyDescent="0.35">
      <c r="B300" s="5">
        <v>249</v>
      </c>
      <c r="C300" s="5">
        <v>291.58731590009501</v>
      </c>
      <c r="D300" s="5">
        <v>12.526290121451106</v>
      </c>
      <c r="E300" s="5">
        <v>13.38287141806917</v>
      </c>
      <c r="F300" s="5">
        <v>134.6377918035918</v>
      </c>
      <c r="G300" s="5">
        <v>142.61923182005776</v>
      </c>
      <c r="H300" s="5">
        <v>30.090047944093101</v>
      </c>
      <c r="I300" s="5">
        <v>1.1189244007959114</v>
      </c>
      <c r="J300" s="5">
        <v>30.262538630225656</v>
      </c>
      <c r="K300" s="5">
        <v>68.062045643004083</v>
      </c>
      <c r="L300" s="5">
        <v>7.5803023583547784</v>
      </c>
      <c r="M300" s="5" t="b">
        <v>1</v>
      </c>
      <c r="N300" s="5" t="b">
        <v>0</v>
      </c>
      <c r="O300" s="5" t="b">
        <v>0</v>
      </c>
      <c r="P300" s="5" t="b">
        <v>0</v>
      </c>
      <c r="Q300" s="5" t="b">
        <v>0</v>
      </c>
      <c r="R300" s="5" t="b">
        <v>0</v>
      </c>
      <c r="S300" s="5" t="b">
        <v>0</v>
      </c>
      <c r="T300" s="5" t="b">
        <v>0</v>
      </c>
      <c r="U300" s="5" t="b">
        <v>0</v>
      </c>
      <c r="V300" s="5" t="b">
        <v>0</v>
      </c>
      <c r="W300" s="5" t="b">
        <v>0</v>
      </c>
      <c r="X300" s="5">
        <v>2</v>
      </c>
      <c r="Y300" s="5">
        <v>3</v>
      </c>
      <c r="Z300" s="5" t="b">
        <v>1</v>
      </c>
      <c r="AA300" s="5">
        <v>6.8895816999999999</v>
      </c>
      <c r="AB300" s="5">
        <v>456.93727670009503</v>
      </c>
    </row>
    <row r="301" spans="2:28" x14ac:dyDescent="0.35">
      <c r="B301" s="5">
        <v>333</v>
      </c>
      <c r="C301" s="5">
        <v>409.87134451648922</v>
      </c>
      <c r="D301" s="5">
        <v>12.388138606742546</v>
      </c>
      <c r="E301" s="5">
        <v>10.556072263896889</v>
      </c>
      <c r="F301" s="5">
        <v>138.94553508424028</v>
      </c>
      <c r="G301" s="5">
        <v>163.18712921000187</v>
      </c>
      <c r="H301" s="5">
        <v>4.6149076646321419</v>
      </c>
      <c r="I301" s="5">
        <v>1.1976728113209645</v>
      </c>
      <c r="J301" s="5">
        <v>30.904360539277764</v>
      </c>
      <c r="K301" s="5">
        <v>90.301893628322091</v>
      </c>
      <c r="L301" s="5">
        <v>6.2975713282833681</v>
      </c>
      <c r="M301" s="5" t="b">
        <v>0</v>
      </c>
      <c r="N301" s="5" t="b">
        <v>0</v>
      </c>
      <c r="O301" s="5" t="b">
        <v>0</v>
      </c>
      <c r="P301" s="5" t="b">
        <v>0</v>
      </c>
      <c r="Q301" s="5" t="b">
        <v>0</v>
      </c>
      <c r="R301" s="5" t="b">
        <v>0</v>
      </c>
      <c r="S301" s="5" t="b">
        <v>0</v>
      </c>
      <c r="T301" s="5" t="b">
        <v>0</v>
      </c>
      <c r="U301" s="5" t="b">
        <v>0</v>
      </c>
      <c r="V301" s="5" t="b">
        <v>0</v>
      </c>
      <c r="W301" s="5" t="b">
        <v>0</v>
      </c>
      <c r="X301" s="5">
        <v>2</v>
      </c>
      <c r="Y301" s="5">
        <v>1</v>
      </c>
      <c r="Z301" s="5" t="b">
        <v>1</v>
      </c>
      <c r="AA301" s="5">
        <v>1.9773810000000003</v>
      </c>
      <c r="AB301" s="5">
        <v>457.32848851648924</v>
      </c>
    </row>
    <row r="302" spans="2:28" x14ac:dyDescent="0.35">
      <c r="B302" s="5">
        <v>299</v>
      </c>
      <c r="C302" s="5">
        <v>360.5786038104672</v>
      </c>
      <c r="D302" s="5">
        <v>13.738887175776075</v>
      </c>
      <c r="E302" s="5">
        <v>7.2595571707135438</v>
      </c>
      <c r="F302" s="5">
        <v>137.5311079547435</v>
      </c>
      <c r="G302" s="5">
        <v>123.93307597561075</v>
      </c>
      <c r="H302" s="5">
        <v>10.428742599615994</v>
      </c>
      <c r="I302" s="5">
        <v>1.1684243015810778</v>
      </c>
      <c r="J302" s="5">
        <v>33.964536687713334</v>
      </c>
      <c r="K302" s="5">
        <v>67.478235519310829</v>
      </c>
      <c r="L302" s="5">
        <v>5.9346429746649605</v>
      </c>
      <c r="M302" s="5" t="b">
        <v>0</v>
      </c>
      <c r="N302" s="5" t="b">
        <v>0</v>
      </c>
      <c r="O302" s="5" t="b">
        <v>1</v>
      </c>
      <c r="P302" s="5" t="b">
        <v>0</v>
      </c>
      <c r="Q302" s="5" t="b">
        <v>0</v>
      </c>
      <c r="R302" s="5" t="b">
        <v>0</v>
      </c>
      <c r="S302" s="5" t="b">
        <v>0</v>
      </c>
      <c r="T302" s="5" t="b">
        <v>0</v>
      </c>
      <c r="U302" s="5" t="b">
        <v>0</v>
      </c>
      <c r="V302" s="5" t="b">
        <v>0</v>
      </c>
      <c r="W302" s="5" t="b">
        <v>0</v>
      </c>
      <c r="X302" s="5">
        <v>2</v>
      </c>
      <c r="Y302" s="5">
        <v>1</v>
      </c>
      <c r="Z302" s="5" t="b">
        <v>0</v>
      </c>
      <c r="AA302" s="5">
        <v>4.0376042999999999</v>
      </c>
      <c r="AB302" s="5">
        <v>457.48110701046721</v>
      </c>
    </row>
    <row r="303" spans="2:28" x14ac:dyDescent="0.35">
      <c r="B303" s="5">
        <v>286</v>
      </c>
      <c r="C303" s="5">
        <v>346.23536879499011</v>
      </c>
      <c r="D303" s="5">
        <v>10.692650942753271</v>
      </c>
      <c r="E303" s="5">
        <v>15.26005387022586</v>
      </c>
      <c r="F303" s="5">
        <v>143.41533278178488</v>
      </c>
      <c r="G303" s="5">
        <v>197.92954266310241</v>
      </c>
      <c r="H303" s="5">
        <v>11.17444267378608</v>
      </c>
      <c r="I303" s="5">
        <v>1.1317291100628095</v>
      </c>
      <c r="J303" s="5">
        <v>30.374419103530798</v>
      </c>
      <c r="K303" s="5">
        <v>75.574075975369979</v>
      </c>
      <c r="L303" s="5">
        <v>6.7865787399683679</v>
      </c>
      <c r="M303" s="5" t="b">
        <v>0</v>
      </c>
      <c r="N303" s="5" t="b">
        <v>0</v>
      </c>
      <c r="O303" s="5" t="b">
        <v>0</v>
      </c>
      <c r="P303" s="5" t="b">
        <v>0</v>
      </c>
      <c r="Q303" s="5" t="b">
        <v>1</v>
      </c>
      <c r="R303" s="5" t="b">
        <v>1</v>
      </c>
      <c r="S303" s="5" t="b">
        <v>0</v>
      </c>
      <c r="T303" s="5" t="b">
        <v>0</v>
      </c>
      <c r="U303" s="5" t="b">
        <v>0</v>
      </c>
      <c r="V303" s="5" t="b">
        <v>0</v>
      </c>
      <c r="W303" s="5" t="b">
        <v>0</v>
      </c>
      <c r="X303" s="5">
        <v>2</v>
      </c>
      <c r="Y303" s="5">
        <v>1</v>
      </c>
      <c r="Z303" s="5" t="b">
        <v>0</v>
      </c>
      <c r="AA303" s="5">
        <v>4.8927180000000003</v>
      </c>
      <c r="AB303" s="5">
        <v>463.6606007949901</v>
      </c>
    </row>
    <row r="304" spans="2:28" x14ac:dyDescent="0.35">
      <c r="B304" s="5">
        <v>342</v>
      </c>
      <c r="C304" s="5">
        <v>418.1304615639184</v>
      </c>
      <c r="D304" s="5">
        <v>11.659685829692313</v>
      </c>
      <c r="E304" s="5">
        <v>10.205885370550901</v>
      </c>
      <c r="F304" s="5">
        <v>140.12540773376514</v>
      </c>
      <c r="G304" s="5">
        <v>105.92890599017014</v>
      </c>
      <c r="H304" s="5">
        <v>14.299066559024684</v>
      </c>
      <c r="I304" s="5">
        <v>1.0386970024626236</v>
      </c>
      <c r="J304" s="5">
        <v>30.545601869757203</v>
      </c>
      <c r="K304" s="5">
        <v>72.680814289094243</v>
      </c>
      <c r="L304" s="5">
        <v>6.1318786577654469</v>
      </c>
      <c r="M304" s="5" t="b">
        <v>0</v>
      </c>
      <c r="N304" s="5" t="b">
        <v>0</v>
      </c>
      <c r="O304" s="5" t="b">
        <v>0</v>
      </c>
      <c r="P304" s="5" t="b">
        <v>0</v>
      </c>
      <c r="Q304" s="5" t="b">
        <v>0</v>
      </c>
      <c r="R304" s="5" t="b">
        <v>0</v>
      </c>
      <c r="S304" s="5" t="b">
        <v>0</v>
      </c>
      <c r="T304" s="5" t="b">
        <v>0</v>
      </c>
      <c r="U304" s="5" t="b">
        <v>0</v>
      </c>
      <c r="V304" s="5" t="b">
        <v>0</v>
      </c>
      <c r="W304" s="5" t="b">
        <v>0</v>
      </c>
      <c r="X304" s="5">
        <v>1</v>
      </c>
      <c r="Y304" s="5">
        <v>1</v>
      </c>
      <c r="Z304" s="5" t="b">
        <v>0</v>
      </c>
      <c r="AA304" s="5">
        <v>1.9262942000000001</v>
      </c>
      <c r="AB304" s="5">
        <v>464.36152236391843</v>
      </c>
    </row>
    <row r="305" spans="2:28" x14ac:dyDescent="0.35">
      <c r="B305" s="5">
        <v>319</v>
      </c>
      <c r="C305" s="5">
        <v>392.17680731809446</v>
      </c>
      <c r="D305" s="5">
        <v>14.31405601519716</v>
      </c>
      <c r="E305" s="5">
        <v>8.7540983202525524</v>
      </c>
      <c r="F305" s="5">
        <v>137.60168916454947</v>
      </c>
      <c r="G305" s="5">
        <v>136.78272027451567</v>
      </c>
      <c r="H305" s="5">
        <v>30.675017467721801</v>
      </c>
      <c r="I305" s="5">
        <v>1.1138950014283322</v>
      </c>
      <c r="J305" s="5">
        <v>31.508092081131498</v>
      </c>
      <c r="K305" s="5">
        <v>60.189287016824373</v>
      </c>
      <c r="L305" s="5">
        <v>6.8639041931507148</v>
      </c>
      <c r="M305" s="5" t="b">
        <v>0</v>
      </c>
      <c r="N305" s="5" t="b">
        <v>0</v>
      </c>
      <c r="O305" s="5" t="b">
        <v>0</v>
      </c>
      <c r="P305" s="5" t="b">
        <v>0</v>
      </c>
      <c r="Q305" s="5" t="b">
        <v>0</v>
      </c>
      <c r="R305" s="5" t="b">
        <v>0</v>
      </c>
      <c r="S305" s="5" t="b">
        <v>0</v>
      </c>
      <c r="T305" s="5" t="b">
        <v>0</v>
      </c>
      <c r="U305" s="5" t="b">
        <v>0</v>
      </c>
      <c r="V305" s="5" t="b">
        <v>0</v>
      </c>
      <c r="W305" s="5" t="b">
        <v>0</v>
      </c>
      <c r="X305" s="5">
        <v>2</v>
      </c>
      <c r="Y305" s="5">
        <v>1</v>
      </c>
      <c r="Z305" s="5" t="b">
        <v>0</v>
      </c>
      <c r="AA305" s="5">
        <v>3.0090146000000004</v>
      </c>
      <c r="AB305" s="5">
        <v>464.39315771809447</v>
      </c>
    </row>
    <row r="306" spans="2:28" x14ac:dyDescent="0.35">
      <c r="B306" s="5">
        <v>222</v>
      </c>
      <c r="C306" s="5">
        <v>257.36808520951985</v>
      </c>
      <c r="D306" s="5">
        <v>14.213489857053517</v>
      </c>
      <c r="E306" s="5">
        <v>10.541890288515466</v>
      </c>
      <c r="F306" s="5">
        <v>140.33153821540384</v>
      </c>
      <c r="G306" s="5">
        <v>82.240087545970681</v>
      </c>
      <c r="H306" s="5">
        <v>17.440037330975382</v>
      </c>
      <c r="I306" s="5">
        <v>0.77778492833806956</v>
      </c>
      <c r="J306" s="5">
        <v>30.854477642747003</v>
      </c>
      <c r="K306" s="5">
        <v>87.909695950412697</v>
      </c>
      <c r="L306" s="5">
        <v>6.8138694054027713</v>
      </c>
      <c r="M306" s="5" t="b">
        <v>0</v>
      </c>
      <c r="N306" s="5" t="b">
        <v>0</v>
      </c>
      <c r="O306" s="5" t="b">
        <v>0</v>
      </c>
      <c r="P306" s="5" t="b">
        <v>0</v>
      </c>
      <c r="Q306" s="5" t="b">
        <v>1</v>
      </c>
      <c r="R306" s="5" t="b">
        <v>0</v>
      </c>
      <c r="S306" s="5" t="b">
        <v>0</v>
      </c>
      <c r="T306" s="5" t="b">
        <v>0</v>
      </c>
      <c r="U306" s="5" t="b">
        <v>0</v>
      </c>
      <c r="V306" s="5" t="b">
        <v>0</v>
      </c>
      <c r="W306" s="5" t="b">
        <v>0</v>
      </c>
      <c r="X306" s="5">
        <v>1</v>
      </c>
      <c r="Y306" s="5">
        <v>4</v>
      </c>
      <c r="Z306" s="5" t="b">
        <v>1</v>
      </c>
      <c r="AA306" s="5">
        <v>8.6442789999999992</v>
      </c>
      <c r="AB306" s="5">
        <v>464.83078120951984</v>
      </c>
    </row>
    <row r="307" spans="2:28" x14ac:dyDescent="0.35">
      <c r="B307" s="5">
        <v>343</v>
      </c>
      <c r="C307" s="5">
        <v>420.43247490474636</v>
      </c>
      <c r="D307" s="5">
        <v>13.535473428706393</v>
      </c>
      <c r="E307" s="5">
        <v>10.278318213499968</v>
      </c>
      <c r="F307" s="5">
        <v>137.34718388962361</v>
      </c>
      <c r="G307" s="5">
        <v>149.50465165730304</v>
      </c>
      <c r="H307" s="5">
        <v>7.098441721140837</v>
      </c>
      <c r="I307" s="5">
        <v>1.2533699754238778</v>
      </c>
      <c r="J307" s="5">
        <v>29.062516791054662</v>
      </c>
      <c r="K307" s="5">
        <v>73.359451382512745</v>
      </c>
      <c r="L307" s="5">
        <v>7.0826243052783431</v>
      </c>
      <c r="M307" s="5" t="b">
        <v>0</v>
      </c>
      <c r="N307" s="5" t="b">
        <v>0</v>
      </c>
      <c r="O307" s="5" t="b">
        <v>0</v>
      </c>
      <c r="P307" s="5" t="b">
        <v>0</v>
      </c>
      <c r="Q307" s="5" t="b">
        <v>0</v>
      </c>
      <c r="R307" s="5" t="b">
        <v>0</v>
      </c>
      <c r="S307" s="5" t="b">
        <v>0</v>
      </c>
      <c r="T307" s="5" t="b">
        <v>0</v>
      </c>
      <c r="U307" s="5" t="b">
        <v>0</v>
      </c>
      <c r="V307" s="5" t="b">
        <v>0</v>
      </c>
      <c r="W307" s="5" t="b">
        <v>0</v>
      </c>
      <c r="X307" s="5">
        <v>2</v>
      </c>
      <c r="Y307" s="5">
        <v>1</v>
      </c>
      <c r="Z307" s="5" t="b">
        <v>0</v>
      </c>
      <c r="AA307" s="5">
        <v>1.8720654000000003</v>
      </c>
      <c r="AB307" s="5">
        <v>465.36204450474634</v>
      </c>
    </row>
    <row r="308" spans="2:28" x14ac:dyDescent="0.35">
      <c r="B308" s="5">
        <v>351</v>
      </c>
      <c r="C308" s="5">
        <v>428.9451860353231</v>
      </c>
      <c r="D308" s="5">
        <v>13.2368754701223</v>
      </c>
      <c r="E308" s="5">
        <v>13.959248159389546</v>
      </c>
      <c r="F308" s="5">
        <v>136.96728890042863</v>
      </c>
      <c r="G308" s="5">
        <v>132.066696148418</v>
      </c>
      <c r="H308" s="5">
        <v>22.024894908178453</v>
      </c>
      <c r="I308" s="5">
        <v>0.55427141115789968</v>
      </c>
      <c r="J308" s="5">
        <v>30.232211086226432</v>
      </c>
      <c r="K308" s="5">
        <v>78.82495444875515</v>
      </c>
      <c r="L308" s="5">
        <v>5.764531279539737</v>
      </c>
      <c r="M308" s="5" t="b">
        <v>0</v>
      </c>
      <c r="N308" s="5" t="b">
        <v>0</v>
      </c>
      <c r="O308" s="5" t="b">
        <v>0</v>
      </c>
      <c r="P308" s="5" t="b">
        <v>0</v>
      </c>
      <c r="Q308" s="5" t="b">
        <v>0</v>
      </c>
      <c r="R308" s="5" t="b">
        <v>0</v>
      </c>
      <c r="S308" s="5" t="b">
        <v>0</v>
      </c>
      <c r="T308" s="5" t="b">
        <v>0</v>
      </c>
      <c r="U308" s="5" t="b">
        <v>0</v>
      </c>
      <c r="V308" s="5" t="b">
        <v>0</v>
      </c>
      <c r="W308" s="5" t="b">
        <v>0</v>
      </c>
      <c r="X308" s="5">
        <v>1</v>
      </c>
      <c r="Y308" s="5">
        <v>0</v>
      </c>
      <c r="Z308" s="5" t="b">
        <v>1</v>
      </c>
      <c r="AA308" s="5">
        <v>1.6650242999999998</v>
      </c>
      <c r="AB308" s="5">
        <v>468.90576923532308</v>
      </c>
    </row>
    <row r="309" spans="2:28" x14ac:dyDescent="0.35">
      <c r="B309" s="5">
        <v>312</v>
      </c>
      <c r="C309" s="5">
        <v>379.8737829297263</v>
      </c>
      <c r="D309" s="5">
        <v>10.102973373876603</v>
      </c>
      <c r="E309" s="5">
        <v>5.8696557277774595</v>
      </c>
      <c r="F309" s="5">
        <v>139.79343679546355</v>
      </c>
      <c r="G309" s="5">
        <v>179.56346915981959</v>
      </c>
      <c r="H309" s="5">
        <v>36.551737002596013</v>
      </c>
      <c r="I309" s="5">
        <v>0.80761124558639708</v>
      </c>
      <c r="J309" s="5">
        <v>30.070233871111469</v>
      </c>
      <c r="K309" s="5">
        <v>60.846744196006028</v>
      </c>
      <c r="L309" s="5">
        <v>6.6513081323973324</v>
      </c>
      <c r="M309" s="5" t="b">
        <v>0</v>
      </c>
      <c r="N309" s="5" t="b">
        <v>0</v>
      </c>
      <c r="O309" s="5" t="b">
        <v>0</v>
      </c>
      <c r="P309" s="5" t="b">
        <v>0</v>
      </c>
      <c r="Q309" s="5" t="b">
        <v>0</v>
      </c>
      <c r="R309" s="5" t="b">
        <v>0</v>
      </c>
      <c r="S309" s="5" t="b">
        <v>0</v>
      </c>
      <c r="T309" s="5" t="b">
        <v>0</v>
      </c>
      <c r="U309" s="5" t="b">
        <v>0</v>
      </c>
      <c r="V309" s="5" t="b">
        <v>0</v>
      </c>
      <c r="W309" s="5" t="b">
        <v>0</v>
      </c>
      <c r="X309" s="5">
        <v>1</v>
      </c>
      <c r="Y309" s="5">
        <v>0</v>
      </c>
      <c r="Z309" s="5" t="b">
        <v>0</v>
      </c>
      <c r="AA309" s="5">
        <v>3.7180137999999996</v>
      </c>
      <c r="AB309" s="5">
        <v>469.10611412972628</v>
      </c>
    </row>
    <row r="310" spans="2:28" x14ac:dyDescent="0.35">
      <c r="B310" s="5">
        <v>297</v>
      </c>
      <c r="C310" s="5">
        <v>359.46428460073071</v>
      </c>
      <c r="D310" s="5">
        <v>13.328631849945783</v>
      </c>
      <c r="E310" s="5">
        <v>16.981031596354562</v>
      </c>
      <c r="F310" s="5">
        <v>137.4820664484489</v>
      </c>
      <c r="G310" s="5">
        <v>126.69550526962634</v>
      </c>
      <c r="H310" s="5">
        <v>6.0565878544628529</v>
      </c>
      <c r="I310" s="5">
        <v>1.2738505826803677</v>
      </c>
      <c r="J310" s="5">
        <v>31.620565570007102</v>
      </c>
      <c r="K310" s="5">
        <v>88.970573999600731</v>
      </c>
      <c r="L310" s="5">
        <v>6.0992207937519405</v>
      </c>
      <c r="M310" s="5" t="b">
        <v>0</v>
      </c>
      <c r="N310" s="5" t="b">
        <v>0</v>
      </c>
      <c r="O310" s="5" t="b">
        <v>0</v>
      </c>
      <c r="P310" s="5" t="b">
        <v>0</v>
      </c>
      <c r="Q310" s="5" t="b">
        <v>0</v>
      </c>
      <c r="R310" s="5" t="b">
        <v>1</v>
      </c>
      <c r="S310" s="5" t="b">
        <v>0</v>
      </c>
      <c r="T310" s="5" t="b">
        <v>0</v>
      </c>
      <c r="U310" s="5" t="b">
        <v>0</v>
      </c>
      <c r="V310" s="5" t="b">
        <v>0</v>
      </c>
      <c r="W310" s="5" t="b">
        <v>0</v>
      </c>
      <c r="X310" s="5">
        <v>2</v>
      </c>
      <c r="Y310" s="5">
        <v>1</v>
      </c>
      <c r="Z310" s="5" t="b">
        <v>1</v>
      </c>
      <c r="AA310" s="5">
        <v>4.5776314999999999</v>
      </c>
      <c r="AB310" s="5">
        <v>469.32744060073071</v>
      </c>
    </row>
    <row r="311" spans="2:28" x14ac:dyDescent="0.35">
      <c r="B311" s="5">
        <v>316</v>
      </c>
      <c r="C311" s="5">
        <v>386.90045118256154</v>
      </c>
      <c r="D311" s="5">
        <v>11.390333650514437</v>
      </c>
      <c r="E311" s="5">
        <v>22.744177319368653</v>
      </c>
      <c r="F311" s="5">
        <v>138.38427821001625</v>
      </c>
      <c r="G311" s="5">
        <v>101.51055242945598</v>
      </c>
      <c r="H311" s="5">
        <v>1.9063719809994648</v>
      </c>
      <c r="I311" s="5">
        <v>1.2930010364469549</v>
      </c>
      <c r="J311" s="5">
        <v>29.61749037724686</v>
      </c>
      <c r="K311" s="5">
        <v>83.94348766396368</v>
      </c>
      <c r="L311" s="5">
        <v>6.4176952361549588</v>
      </c>
      <c r="M311" s="5" t="b">
        <v>1</v>
      </c>
      <c r="N311" s="5" t="b">
        <v>0</v>
      </c>
      <c r="O311" s="5" t="b">
        <v>0</v>
      </c>
      <c r="P311" s="5" t="b">
        <v>0</v>
      </c>
      <c r="Q311" s="5" t="b">
        <v>0</v>
      </c>
      <c r="R311" s="5" t="b">
        <v>0</v>
      </c>
      <c r="S311" s="5" t="b">
        <v>1</v>
      </c>
      <c r="T311" s="5" t="b">
        <v>1</v>
      </c>
      <c r="U311" s="5" t="b">
        <v>0</v>
      </c>
      <c r="V311" s="5" t="b">
        <v>0</v>
      </c>
      <c r="W311" s="5" t="b">
        <v>0</v>
      </c>
      <c r="X311" s="5">
        <v>2</v>
      </c>
      <c r="Y311" s="5">
        <v>0</v>
      </c>
      <c r="Z311" s="5" t="b">
        <v>1</v>
      </c>
      <c r="AA311" s="5">
        <v>3.4510399999999999</v>
      </c>
      <c r="AB311" s="5">
        <v>469.72541118256152</v>
      </c>
    </row>
    <row r="312" spans="2:28" x14ac:dyDescent="0.35">
      <c r="B312" s="5">
        <v>289</v>
      </c>
      <c r="C312" s="5">
        <v>352.65289776982183</v>
      </c>
      <c r="D312" s="5">
        <v>11.466295083418908</v>
      </c>
      <c r="E312" s="5">
        <v>14.155402193266331</v>
      </c>
      <c r="F312" s="5">
        <v>138.56582689142201</v>
      </c>
      <c r="G312" s="5">
        <v>200.44393259511764</v>
      </c>
      <c r="H312" s="5">
        <v>16.084367835443231</v>
      </c>
      <c r="I312" s="5">
        <v>1.116222788576587</v>
      </c>
      <c r="J312" s="5">
        <v>28.771161913286495</v>
      </c>
      <c r="K312" s="5">
        <v>80.540439856138619</v>
      </c>
      <c r="L312" s="5">
        <v>6.8811695851350745</v>
      </c>
      <c r="M312" s="5" t="b">
        <v>0</v>
      </c>
      <c r="N312" s="5" t="b">
        <v>0</v>
      </c>
      <c r="O312" s="5" t="b">
        <v>0</v>
      </c>
      <c r="P312" s="5" t="b">
        <v>0</v>
      </c>
      <c r="Q312" s="5" t="b">
        <v>0</v>
      </c>
      <c r="R312" s="5" t="b">
        <v>0</v>
      </c>
      <c r="S312" s="5" t="b">
        <v>0</v>
      </c>
      <c r="T312" s="5" t="b">
        <v>0</v>
      </c>
      <c r="U312" s="5" t="b">
        <v>1</v>
      </c>
      <c r="V312" s="5" t="b">
        <v>0</v>
      </c>
      <c r="W312" s="5" t="b">
        <v>0</v>
      </c>
      <c r="X312" s="5">
        <v>1</v>
      </c>
      <c r="Y312" s="5">
        <v>2</v>
      </c>
      <c r="Z312" s="5" t="b">
        <v>0</v>
      </c>
      <c r="AA312" s="5">
        <v>4.9890660000000002</v>
      </c>
      <c r="AB312" s="5">
        <v>472.39048176982186</v>
      </c>
    </row>
    <row r="313" spans="2:28" x14ac:dyDescent="0.35">
      <c r="B313" s="5">
        <v>290</v>
      </c>
      <c r="C313" s="5">
        <v>353.55541971494222</v>
      </c>
      <c r="D313" s="5">
        <v>11.854162646132327</v>
      </c>
      <c r="E313" s="5">
        <v>5.3428688297245124</v>
      </c>
      <c r="F313" s="5">
        <v>137.29478280984438</v>
      </c>
      <c r="G313" s="5">
        <v>175.64272157891313</v>
      </c>
      <c r="H313" s="5">
        <v>15.455720694769544</v>
      </c>
      <c r="I313" s="5">
        <v>0.82015100772145</v>
      </c>
      <c r="J313" s="5">
        <v>31.304383620158308</v>
      </c>
      <c r="K313" s="5">
        <v>103.48958275758201</v>
      </c>
      <c r="L313" s="5">
        <v>6.8622980817608203</v>
      </c>
      <c r="M313" s="5" t="b">
        <v>0</v>
      </c>
      <c r="N313" s="5" t="b">
        <v>0</v>
      </c>
      <c r="O313" s="5" t="b">
        <v>0</v>
      </c>
      <c r="P313" s="5" t="b">
        <v>0</v>
      </c>
      <c r="Q313" s="5" t="b">
        <v>0</v>
      </c>
      <c r="R313" s="5" t="b">
        <v>0</v>
      </c>
      <c r="S313" s="5" t="b">
        <v>0</v>
      </c>
      <c r="T313" s="5" t="b">
        <v>0</v>
      </c>
      <c r="U313" s="5" t="b">
        <v>0</v>
      </c>
      <c r="V313" s="5" t="b">
        <v>1</v>
      </c>
      <c r="W313" s="5" t="b">
        <v>0</v>
      </c>
      <c r="X313" s="5">
        <v>1</v>
      </c>
      <c r="Y313" s="5">
        <v>1</v>
      </c>
      <c r="Z313" s="5" t="b">
        <v>0</v>
      </c>
      <c r="AA313" s="5">
        <v>4.9603979999999996</v>
      </c>
      <c r="AB313" s="5">
        <v>472.60497171494222</v>
      </c>
    </row>
    <row r="314" spans="2:28" x14ac:dyDescent="0.35">
      <c r="B314" s="5">
        <v>325</v>
      </c>
      <c r="C314" s="5">
        <v>402.43834834598294</v>
      </c>
      <c r="D314" s="5">
        <v>11.712187338011709</v>
      </c>
      <c r="E314" s="5">
        <v>9.6644460123692557</v>
      </c>
      <c r="F314" s="5">
        <v>136.79044399111399</v>
      </c>
      <c r="G314" s="5">
        <v>120.36907357873518</v>
      </c>
      <c r="H314" s="5">
        <v>8.580967065189137</v>
      </c>
      <c r="I314" s="5">
        <v>1.2054438230318909</v>
      </c>
      <c r="J314" s="5">
        <v>31.694022801979557</v>
      </c>
      <c r="K314" s="5">
        <v>77.13993872976576</v>
      </c>
      <c r="L314" s="5">
        <v>6.5420498779990268</v>
      </c>
      <c r="M314" s="5" t="b">
        <v>0</v>
      </c>
      <c r="N314" s="5" t="b">
        <v>0</v>
      </c>
      <c r="O314" s="5" t="b">
        <v>0</v>
      </c>
      <c r="P314" s="5" t="b">
        <v>0</v>
      </c>
      <c r="Q314" s="5" t="b">
        <v>0</v>
      </c>
      <c r="R314" s="5" t="b">
        <v>0</v>
      </c>
      <c r="S314" s="5" t="b">
        <v>1</v>
      </c>
      <c r="T314" s="5" t="b">
        <v>0</v>
      </c>
      <c r="U314" s="5" t="b">
        <v>0</v>
      </c>
      <c r="V314" s="5" t="b">
        <v>0</v>
      </c>
      <c r="W314" s="5" t="b">
        <v>0</v>
      </c>
      <c r="X314" s="5">
        <v>2</v>
      </c>
      <c r="Y314" s="5">
        <v>0</v>
      </c>
      <c r="Z314" s="5" t="b">
        <v>0</v>
      </c>
      <c r="AA314" s="5">
        <v>2.9806789999999999</v>
      </c>
      <c r="AB314" s="5">
        <v>473.97464434598294</v>
      </c>
    </row>
    <row r="315" spans="2:28" x14ac:dyDescent="0.35">
      <c r="B315" s="5">
        <v>282</v>
      </c>
      <c r="C315" s="5">
        <v>342.42656262242633</v>
      </c>
      <c r="D315" s="5">
        <v>12.658626584474796</v>
      </c>
      <c r="E315" s="5">
        <v>12.623313609610628</v>
      </c>
      <c r="F315" s="5">
        <v>138.32569246574792</v>
      </c>
      <c r="G315" s="5">
        <v>145.29644354325634</v>
      </c>
      <c r="H315" s="5">
        <v>35.726493898911365</v>
      </c>
      <c r="I315" s="5">
        <v>1.0668272736902131</v>
      </c>
      <c r="J315" s="5">
        <v>26.118468340117452</v>
      </c>
      <c r="K315" s="5">
        <v>58.376439678133934</v>
      </c>
      <c r="L315" s="5">
        <v>6.4937321862894919</v>
      </c>
      <c r="M315" s="5" t="b">
        <v>0</v>
      </c>
      <c r="N315" s="5" t="b">
        <v>0</v>
      </c>
      <c r="O315" s="5" t="b">
        <v>0</v>
      </c>
      <c r="P315" s="5" t="b">
        <v>0</v>
      </c>
      <c r="Q315" s="5" t="b">
        <v>0</v>
      </c>
      <c r="R315" s="5" t="b">
        <v>0</v>
      </c>
      <c r="S315" s="5" t="b">
        <v>0</v>
      </c>
      <c r="T315" s="5" t="b">
        <v>0</v>
      </c>
      <c r="U315" s="5" t="b">
        <v>0</v>
      </c>
      <c r="V315" s="5" t="b">
        <v>0</v>
      </c>
      <c r="W315" s="5" t="b">
        <v>0</v>
      </c>
      <c r="X315" s="5">
        <v>2</v>
      </c>
      <c r="Y315" s="5">
        <v>2</v>
      </c>
      <c r="Z315" s="5" t="b">
        <v>1</v>
      </c>
      <c r="AA315" s="5">
        <v>5.5549629999999999</v>
      </c>
      <c r="AB315" s="5">
        <v>475.74567462242635</v>
      </c>
    </row>
    <row r="316" spans="2:28" x14ac:dyDescent="0.35">
      <c r="B316" s="5">
        <v>334</v>
      </c>
      <c r="C316" s="5">
        <v>410.28310853631882</v>
      </c>
      <c r="D316" s="5">
        <v>13.011467595858907</v>
      </c>
      <c r="E316" s="5">
        <v>12.011114758430486</v>
      </c>
      <c r="F316" s="5">
        <v>142.69736693732364</v>
      </c>
      <c r="G316" s="5">
        <v>172.48853864990576</v>
      </c>
      <c r="H316" s="5">
        <v>6.1244382579991257</v>
      </c>
      <c r="I316" s="5">
        <v>0.83381171080170868</v>
      </c>
      <c r="J316" s="5">
        <v>30.548859645121258</v>
      </c>
      <c r="K316" s="5">
        <v>76.060020908243473</v>
      </c>
      <c r="L316" s="5">
        <v>6.9419686764092301</v>
      </c>
      <c r="M316" s="5" t="b">
        <v>0</v>
      </c>
      <c r="N316" s="5" t="b">
        <v>0</v>
      </c>
      <c r="O316" s="5" t="b">
        <v>0</v>
      </c>
      <c r="P316" s="5" t="b">
        <v>0</v>
      </c>
      <c r="Q316" s="5" t="b">
        <v>0</v>
      </c>
      <c r="R316" s="5" t="b">
        <v>0</v>
      </c>
      <c r="S316" s="5" t="b">
        <v>0</v>
      </c>
      <c r="T316" s="5" t="b">
        <v>0</v>
      </c>
      <c r="U316" s="5" t="b">
        <v>0</v>
      </c>
      <c r="V316" s="5" t="b">
        <v>0</v>
      </c>
      <c r="W316" s="5" t="b">
        <v>0</v>
      </c>
      <c r="X316" s="5">
        <v>2</v>
      </c>
      <c r="Y316" s="5">
        <v>1</v>
      </c>
      <c r="Z316" s="5" t="b">
        <v>1</v>
      </c>
      <c r="AA316" s="5">
        <v>2.8156151999999999</v>
      </c>
      <c r="AB316" s="5">
        <v>477.85787333631879</v>
      </c>
    </row>
    <row r="317" spans="2:28" x14ac:dyDescent="0.35">
      <c r="B317" s="5">
        <v>349</v>
      </c>
      <c r="C317" s="5">
        <v>427.35100183033967</v>
      </c>
      <c r="D317" s="5">
        <v>11.774324111084171</v>
      </c>
      <c r="E317" s="5">
        <v>4.5515235892914658</v>
      </c>
      <c r="F317" s="5">
        <v>140.16167249302381</v>
      </c>
      <c r="G317" s="5">
        <v>136.50666516697518</v>
      </c>
      <c r="H317" s="5">
        <v>16.177934426229498</v>
      </c>
      <c r="I317" s="5">
        <v>1.0204804428920931</v>
      </c>
      <c r="J317" s="5">
        <v>32.094091778966671</v>
      </c>
      <c r="K317" s="5">
        <v>56.199584362688675</v>
      </c>
      <c r="L317" s="5">
        <v>6.1141456328858084</v>
      </c>
      <c r="M317" s="5" t="b">
        <v>0</v>
      </c>
      <c r="N317" s="5" t="b">
        <v>0</v>
      </c>
      <c r="O317" s="5" t="b">
        <v>0</v>
      </c>
      <c r="P317" s="5" t="b">
        <v>0</v>
      </c>
      <c r="Q317" s="5" t="b">
        <v>0</v>
      </c>
      <c r="R317" s="5" t="b">
        <v>0</v>
      </c>
      <c r="S317" s="5" t="b">
        <v>0</v>
      </c>
      <c r="T317" s="5" t="b">
        <v>0</v>
      </c>
      <c r="U317" s="5" t="b">
        <v>0</v>
      </c>
      <c r="V317" s="5" t="b">
        <v>0</v>
      </c>
      <c r="W317" s="5" t="b">
        <v>0</v>
      </c>
      <c r="X317" s="5">
        <v>1</v>
      </c>
      <c r="Y317" s="5">
        <v>1</v>
      </c>
      <c r="Z317" s="5" t="b">
        <v>0</v>
      </c>
      <c r="AA317" s="5">
        <v>2.1225733999999998</v>
      </c>
      <c r="AB317" s="5">
        <v>478.29276343033968</v>
      </c>
    </row>
    <row r="318" spans="2:28" x14ac:dyDescent="0.35">
      <c r="B318" s="5">
        <v>362</v>
      </c>
      <c r="C318" s="5">
        <v>445.68380758904158</v>
      </c>
      <c r="D318" s="5">
        <v>13.063226009015079</v>
      </c>
      <c r="E318" s="5">
        <v>2.9282295867901063</v>
      </c>
      <c r="F318" s="5">
        <v>137.27932875801554</v>
      </c>
      <c r="G318" s="5">
        <v>103.45942048034543</v>
      </c>
      <c r="H318" s="5">
        <v>16.022152412603511</v>
      </c>
      <c r="I318" s="5">
        <v>1.2505976598722</v>
      </c>
      <c r="J318" s="5">
        <v>30.745897402834494</v>
      </c>
      <c r="K318" s="5">
        <v>84.6396414519009</v>
      </c>
      <c r="L318" s="5">
        <v>5.5567284820805796</v>
      </c>
      <c r="M318" s="5" t="b">
        <v>0</v>
      </c>
      <c r="N318" s="5" t="b">
        <v>0</v>
      </c>
      <c r="O318" s="5" t="b">
        <v>0</v>
      </c>
      <c r="P318" s="5" t="b">
        <v>0</v>
      </c>
      <c r="Q318" s="5" t="b">
        <v>0</v>
      </c>
      <c r="R318" s="5" t="b">
        <v>0</v>
      </c>
      <c r="S318" s="5" t="b">
        <v>0</v>
      </c>
      <c r="T318" s="5" t="b">
        <v>0</v>
      </c>
      <c r="U318" s="5" t="b">
        <v>0</v>
      </c>
      <c r="V318" s="5" t="b">
        <v>0</v>
      </c>
      <c r="W318" s="5" t="b">
        <v>0</v>
      </c>
      <c r="X318" s="5">
        <v>1</v>
      </c>
      <c r="Y318" s="5">
        <v>0</v>
      </c>
      <c r="Z318" s="5" t="b">
        <v>1</v>
      </c>
      <c r="AA318" s="5">
        <v>1.3751066999999999</v>
      </c>
      <c r="AB318" s="5">
        <v>478.6863683890416</v>
      </c>
    </row>
    <row r="319" spans="2:28" x14ac:dyDescent="0.35">
      <c r="B319" s="5">
        <v>338</v>
      </c>
      <c r="C319" s="5">
        <v>414.36531048181052</v>
      </c>
      <c r="D319" s="5">
        <v>11.084671757621038</v>
      </c>
      <c r="E319" s="5">
        <v>14.297985508702414</v>
      </c>
      <c r="F319" s="5">
        <v>141.62102150231232</v>
      </c>
      <c r="G319" s="5">
        <v>118.29638017811713</v>
      </c>
      <c r="H319" s="5">
        <v>16.405536939470313</v>
      </c>
      <c r="I319" s="5">
        <v>1.2566031847373877</v>
      </c>
      <c r="J319" s="5">
        <v>28.117557115955648</v>
      </c>
      <c r="K319" s="5">
        <v>85.629989972778432</v>
      </c>
      <c r="L319" s="5">
        <v>5.6379691338756119</v>
      </c>
      <c r="M319" s="5" t="b">
        <v>0</v>
      </c>
      <c r="N319" s="5" t="b">
        <v>0</v>
      </c>
      <c r="O319" s="5" t="b">
        <v>0</v>
      </c>
      <c r="P319" s="5" t="b">
        <v>0</v>
      </c>
      <c r="Q319" s="5" t="b">
        <v>0</v>
      </c>
      <c r="R319" s="5" t="b">
        <v>0</v>
      </c>
      <c r="S319" s="5" t="b">
        <v>0</v>
      </c>
      <c r="T319" s="5" t="b">
        <v>0</v>
      </c>
      <c r="U319" s="5" t="b">
        <v>0</v>
      </c>
      <c r="V319" s="5" t="b">
        <v>0</v>
      </c>
      <c r="W319" s="5" t="b">
        <v>0</v>
      </c>
      <c r="X319" s="5">
        <v>3</v>
      </c>
      <c r="Y319" s="5">
        <v>1</v>
      </c>
      <c r="Z319" s="5" t="b">
        <v>1</v>
      </c>
      <c r="AA319" s="5">
        <v>2.7399485000000001</v>
      </c>
      <c r="AB319" s="5">
        <v>480.12407448181051</v>
      </c>
    </row>
    <row r="320" spans="2:28" x14ac:dyDescent="0.35">
      <c r="B320" s="5">
        <v>341</v>
      </c>
      <c r="C320" s="5">
        <v>417.9363274839169</v>
      </c>
      <c r="D320" s="5">
        <v>13.374077514267311</v>
      </c>
      <c r="E320" s="5">
        <v>13.802907339799962</v>
      </c>
      <c r="F320" s="5">
        <v>138.11592054278887</v>
      </c>
      <c r="G320" s="5">
        <v>205.79336971920986</v>
      </c>
      <c r="H320" s="5">
        <v>9.5809824999954198</v>
      </c>
      <c r="I320" s="5">
        <v>1.2119224503753256</v>
      </c>
      <c r="J320" s="5">
        <v>24.991101700277252</v>
      </c>
      <c r="K320" s="5">
        <v>77.509940785866732</v>
      </c>
      <c r="L320" s="5">
        <v>6.6059964679722754</v>
      </c>
      <c r="M320" s="5" t="b">
        <v>0</v>
      </c>
      <c r="N320" s="5" t="b">
        <v>0</v>
      </c>
      <c r="O320" s="5" t="b">
        <v>0</v>
      </c>
      <c r="P320" s="5" t="b">
        <v>0</v>
      </c>
      <c r="Q320" s="5" t="b">
        <v>0</v>
      </c>
      <c r="R320" s="5" t="b">
        <v>0</v>
      </c>
      <c r="S320" s="5" t="b">
        <v>0</v>
      </c>
      <c r="T320" s="5" t="b">
        <v>0</v>
      </c>
      <c r="U320" s="5" t="b">
        <v>0</v>
      </c>
      <c r="V320" s="5" t="b">
        <v>0</v>
      </c>
      <c r="W320" s="5" t="b">
        <v>0</v>
      </c>
      <c r="X320" s="5">
        <v>3</v>
      </c>
      <c r="Y320" s="5">
        <v>1</v>
      </c>
      <c r="Z320" s="5" t="b">
        <v>0</v>
      </c>
      <c r="AA320" s="5">
        <v>2.6378305000000002</v>
      </c>
      <c r="AB320" s="5">
        <v>481.24425948391689</v>
      </c>
    </row>
    <row r="321" spans="2:28" x14ac:dyDescent="0.35">
      <c r="B321" s="5">
        <v>313</v>
      </c>
      <c r="C321" s="5">
        <v>381.04928594563694</v>
      </c>
      <c r="D321" s="5">
        <v>11.088996128769855</v>
      </c>
      <c r="E321" s="5">
        <v>21.34342549864283</v>
      </c>
      <c r="F321" s="5">
        <v>136.41557218774241</v>
      </c>
      <c r="G321" s="5">
        <v>98.243293384531881</v>
      </c>
      <c r="H321" s="5">
        <v>11.491589120839102</v>
      </c>
      <c r="I321" s="5">
        <v>0.99551883916407635</v>
      </c>
      <c r="J321" s="5">
        <v>29.572443299027046</v>
      </c>
      <c r="K321" s="5">
        <v>61.359538413671679</v>
      </c>
      <c r="L321" s="5">
        <v>6.1179061223604805</v>
      </c>
      <c r="M321" s="5" t="b">
        <v>0</v>
      </c>
      <c r="N321" s="5" t="b">
        <v>0</v>
      </c>
      <c r="O321" s="5" t="b">
        <v>0</v>
      </c>
      <c r="P321" s="5" t="b">
        <v>0</v>
      </c>
      <c r="Q321" s="5" t="b">
        <v>0</v>
      </c>
      <c r="R321" s="5" t="b">
        <v>0</v>
      </c>
      <c r="S321" s="5" t="b">
        <v>0</v>
      </c>
      <c r="T321" s="5" t="b">
        <v>0</v>
      </c>
      <c r="U321" s="5" t="b">
        <v>0</v>
      </c>
      <c r="V321" s="5" t="b">
        <v>1</v>
      </c>
      <c r="W321" s="5" t="b">
        <v>0</v>
      </c>
      <c r="X321" s="5">
        <v>1</v>
      </c>
      <c r="Y321" s="5">
        <v>1</v>
      </c>
      <c r="Z321" s="5" t="b">
        <v>1</v>
      </c>
      <c r="AA321" s="5">
        <v>4.1930847</v>
      </c>
      <c r="AB321" s="5">
        <v>481.68331874563694</v>
      </c>
    </row>
    <row r="322" spans="2:28" x14ac:dyDescent="0.35">
      <c r="B322" s="5">
        <v>300</v>
      </c>
      <c r="C322" s="5">
        <v>362.74148204222865</v>
      </c>
      <c r="D322" s="5">
        <v>8.966048115670656</v>
      </c>
      <c r="E322" s="5">
        <v>9.1843947437361297</v>
      </c>
      <c r="F322" s="5">
        <v>141.48820024541362</v>
      </c>
      <c r="G322" s="5">
        <v>87.349964102422931</v>
      </c>
      <c r="H322" s="5">
        <v>14.66227011124316</v>
      </c>
      <c r="I322" s="5">
        <v>0.97703480423151667</v>
      </c>
      <c r="J322" s="5">
        <v>26.872660977937102</v>
      </c>
      <c r="K322" s="5">
        <v>66.878137597511028</v>
      </c>
      <c r="L322" s="5">
        <v>7.6891379601541381</v>
      </c>
      <c r="M322" s="5" t="b">
        <v>0</v>
      </c>
      <c r="N322" s="5" t="b">
        <v>0</v>
      </c>
      <c r="O322" s="5" t="b">
        <v>0</v>
      </c>
      <c r="P322" s="5" t="b">
        <v>0</v>
      </c>
      <c r="Q322" s="5" t="b">
        <v>0</v>
      </c>
      <c r="R322" s="5" t="b">
        <v>0</v>
      </c>
      <c r="S322" s="5" t="b">
        <v>0</v>
      </c>
      <c r="T322" s="5" t="b">
        <v>0</v>
      </c>
      <c r="U322" s="5" t="b">
        <v>0</v>
      </c>
      <c r="V322" s="5" t="b">
        <v>0</v>
      </c>
      <c r="W322" s="5" t="b">
        <v>0</v>
      </c>
      <c r="X322" s="5">
        <v>0</v>
      </c>
      <c r="Y322" s="5">
        <v>1</v>
      </c>
      <c r="Z322" s="5" t="b">
        <v>1</v>
      </c>
      <c r="AA322" s="5">
        <v>5.0277814999999997</v>
      </c>
      <c r="AB322" s="5">
        <v>483.40823804222862</v>
      </c>
    </row>
    <row r="323" spans="2:28" x14ac:dyDescent="0.35">
      <c r="B323" s="5">
        <v>373</v>
      </c>
      <c r="C323" s="5">
        <v>463.6606007949901</v>
      </c>
      <c r="D323" s="5">
        <v>13.536810900849186</v>
      </c>
      <c r="E323" s="5">
        <v>12.773604376579131</v>
      </c>
      <c r="F323" s="5">
        <v>139.99795906477257</v>
      </c>
      <c r="G323" s="5">
        <v>99.211547776154731</v>
      </c>
      <c r="H323" s="5">
        <v>1.6253398423933767</v>
      </c>
      <c r="I323" s="5">
        <v>1.0437903019400345</v>
      </c>
      <c r="J323" s="5">
        <v>30.425557783146107</v>
      </c>
      <c r="K323" s="5">
        <v>59.277425301957422</v>
      </c>
      <c r="L323" s="5">
        <v>6.6261858165046297</v>
      </c>
      <c r="M323" s="5" t="b">
        <v>0</v>
      </c>
      <c r="N323" s="5" t="b">
        <v>0</v>
      </c>
      <c r="O323" s="5" t="b">
        <v>0</v>
      </c>
      <c r="P323" s="5" t="b">
        <v>0</v>
      </c>
      <c r="Q323" s="5" t="b">
        <v>0</v>
      </c>
      <c r="R323" s="5" t="b">
        <v>0</v>
      </c>
      <c r="S323" s="5" t="b">
        <v>0</v>
      </c>
      <c r="T323" s="5" t="b">
        <v>0</v>
      </c>
      <c r="U323" s="5" t="b">
        <v>0</v>
      </c>
      <c r="V323" s="5" t="b">
        <v>0</v>
      </c>
      <c r="W323" s="5" t="b">
        <v>0</v>
      </c>
      <c r="X323" s="5">
        <v>0</v>
      </c>
      <c r="Y323" s="5">
        <v>0</v>
      </c>
      <c r="Z323" s="5" t="b">
        <v>1</v>
      </c>
      <c r="AA323" s="5">
        <v>0.95750844000000002</v>
      </c>
      <c r="AB323" s="5">
        <v>486.64080335499011</v>
      </c>
    </row>
    <row r="324" spans="2:28" x14ac:dyDescent="0.35">
      <c r="B324" s="5">
        <v>308</v>
      </c>
      <c r="C324" s="5">
        <v>374.32800601504209</v>
      </c>
      <c r="D324" s="5">
        <v>11.406070827088207</v>
      </c>
      <c r="E324" s="5">
        <v>10.167680828666072</v>
      </c>
      <c r="F324" s="5">
        <v>133.54726719495648</v>
      </c>
      <c r="G324" s="5">
        <v>199.9054896297888</v>
      </c>
      <c r="H324" s="5">
        <v>25.322222694261814</v>
      </c>
      <c r="I324" s="5">
        <v>1.1778540472433243</v>
      </c>
      <c r="J324" s="5">
        <v>28.432690807659284</v>
      </c>
      <c r="K324" s="5">
        <v>48.325299782001252</v>
      </c>
      <c r="L324" s="5">
        <v>6.7456752294680014</v>
      </c>
      <c r="M324" s="5" t="b">
        <v>0</v>
      </c>
      <c r="N324" s="5" t="b">
        <v>0</v>
      </c>
      <c r="O324" s="5" t="b">
        <v>0</v>
      </c>
      <c r="P324" s="5" t="b">
        <v>0</v>
      </c>
      <c r="Q324" s="5" t="b">
        <v>0</v>
      </c>
      <c r="R324" s="5" t="b">
        <v>1</v>
      </c>
      <c r="S324" s="5" t="b">
        <v>0</v>
      </c>
      <c r="T324" s="5" t="b">
        <v>0</v>
      </c>
      <c r="U324" s="5" t="b">
        <v>0</v>
      </c>
      <c r="V324" s="5" t="b">
        <v>0</v>
      </c>
      <c r="W324" s="5" t="b">
        <v>0</v>
      </c>
      <c r="X324" s="5">
        <v>1</v>
      </c>
      <c r="Y324" s="5">
        <v>0</v>
      </c>
      <c r="Z324" s="5" t="b">
        <v>1</v>
      </c>
      <c r="AA324" s="5">
        <v>4.7406196999999999</v>
      </c>
      <c r="AB324" s="5">
        <v>488.10287881504212</v>
      </c>
    </row>
    <row r="325" spans="2:28" x14ac:dyDescent="0.35">
      <c r="B325" s="5">
        <v>360</v>
      </c>
      <c r="C325" s="5">
        <v>439.96482716694351</v>
      </c>
      <c r="D325" s="5">
        <v>13.251158915601575</v>
      </c>
      <c r="E325" s="5">
        <v>16.337252143592686</v>
      </c>
      <c r="F325" s="5">
        <v>134.04856407806852</v>
      </c>
      <c r="G325" s="5">
        <v>167.8216988403141</v>
      </c>
      <c r="H325" s="5">
        <v>44.452177180264052</v>
      </c>
      <c r="I325" s="5">
        <v>1.2867637454409675</v>
      </c>
      <c r="J325" s="5">
        <v>29.706603932775216</v>
      </c>
      <c r="K325" s="5">
        <v>86.345140188887243</v>
      </c>
      <c r="L325" s="5">
        <v>6.1462373205664669</v>
      </c>
      <c r="M325" s="5" t="b">
        <v>0</v>
      </c>
      <c r="N325" s="5" t="b">
        <v>0</v>
      </c>
      <c r="O325" s="5" t="b">
        <v>0</v>
      </c>
      <c r="P325" s="5" t="b">
        <v>0</v>
      </c>
      <c r="Q325" s="5" t="b">
        <v>0</v>
      </c>
      <c r="R325" s="5" t="b">
        <v>0</v>
      </c>
      <c r="S325" s="5" t="b">
        <v>0</v>
      </c>
      <c r="T325" s="5" t="b">
        <v>0</v>
      </c>
      <c r="U325" s="5" t="b">
        <v>0</v>
      </c>
      <c r="V325" s="5" t="b">
        <v>0</v>
      </c>
      <c r="W325" s="5" t="b">
        <v>0</v>
      </c>
      <c r="X325" s="5">
        <v>2</v>
      </c>
      <c r="Y325" s="5">
        <v>0</v>
      </c>
      <c r="Z325" s="5" t="b">
        <v>0</v>
      </c>
      <c r="AA325" s="5">
        <v>2.0079012000000001</v>
      </c>
      <c r="AB325" s="5">
        <v>488.15445596694349</v>
      </c>
    </row>
    <row r="326" spans="2:28" x14ac:dyDescent="0.35">
      <c r="B326" s="5">
        <v>332</v>
      </c>
      <c r="C326" s="5">
        <v>409.33775315518085</v>
      </c>
      <c r="D326" s="5">
        <v>10.207883092998298</v>
      </c>
      <c r="E326" s="5">
        <v>15.177824035807738</v>
      </c>
      <c r="F326" s="5">
        <v>138.46551750435691</v>
      </c>
      <c r="G326" s="5">
        <v>139.59633519326749</v>
      </c>
      <c r="H326" s="5">
        <v>14.088394644978429</v>
      </c>
      <c r="I326" s="5">
        <v>1.3355420829527815</v>
      </c>
      <c r="J326" s="5">
        <v>29.096549816124039</v>
      </c>
      <c r="K326" s="5">
        <v>84.755817447012205</v>
      </c>
      <c r="L326" s="5">
        <v>6.5836255479394712</v>
      </c>
      <c r="M326" s="5" t="b">
        <v>0</v>
      </c>
      <c r="N326" s="5" t="b">
        <v>0</v>
      </c>
      <c r="O326" s="5" t="b">
        <v>1</v>
      </c>
      <c r="P326" s="5" t="b">
        <v>1</v>
      </c>
      <c r="Q326" s="5" t="b">
        <v>0</v>
      </c>
      <c r="R326" s="5" t="b">
        <v>0</v>
      </c>
      <c r="S326" s="5" t="b">
        <v>0</v>
      </c>
      <c r="T326" s="5" t="b">
        <v>0</v>
      </c>
      <c r="U326" s="5" t="b">
        <v>0</v>
      </c>
      <c r="V326" s="5" t="b">
        <v>0</v>
      </c>
      <c r="W326" s="5" t="b">
        <v>0</v>
      </c>
      <c r="X326" s="5">
        <v>1</v>
      </c>
      <c r="Y326" s="5">
        <v>0</v>
      </c>
      <c r="Z326" s="5" t="b">
        <v>1</v>
      </c>
      <c r="AA326" s="5">
        <v>3.3367065999999994</v>
      </c>
      <c r="AB326" s="5">
        <v>489.41871155518083</v>
      </c>
    </row>
    <row r="327" spans="2:28" x14ac:dyDescent="0.35">
      <c r="B327" s="5">
        <v>315</v>
      </c>
      <c r="C327" s="5">
        <v>382.19642013361477</v>
      </c>
      <c r="D327" s="5">
        <v>9.6149604884595572</v>
      </c>
      <c r="E327" s="5">
        <v>2.8496786336137969</v>
      </c>
      <c r="F327" s="5">
        <v>138.57237367242629</v>
      </c>
      <c r="G327" s="5">
        <v>146.01805908752806</v>
      </c>
      <c r="H327" s="5">
        <v>11.542543415850727</v>
      </c>
      <c r="I327" s="5">
        <v>1.0916542995731726</v>
      </c>
      <c r="J327" s="5">
        <v>28.964206272855527</v>
      </c>
      <c r="K327" s="5">
        <v>69.981032636602748</v>
      </c>
      <c r="L327" s="5">
        <v>6.7973791894176241</v>
      </c>
      <c r="M327" s="5" t="b">
        <v>0</v>
      </c>
      <c r="N327" s="5" t="b">
        <v>0</v>
      </c>
      <c r="O327" s="5" t="b">
        <v>0</v>
      </c>
      <c r="P327" s="5" t="b">
        <v>0</v>
      </c>
      <c r="Q327" s="5" t="b">
        <v>0</v>
      </c>
      <c r="R327" s="5" t="b">
        <v>1</v>
      </c>
      <c r="S327" s="5" t="b">
        <v>0</v>
      </c>
      <c r="T327" s="5" t="b">
        <v>0</v>
      </c>
      <c r="U327" s="5" t="b">
        <v>0</v>
      </c>
      <c r="V327" s="5" t="b">
        <v>0</v>
      </c>
      <c r="W327" s="5" t="b">
        <v>0</v>
      </c>
      <c r="X327" s="5">
        <v>0</v>
      </c>
      <c r="Y327" s="5">
        <v>1</v>
      </c>
      <c r="Z327" s="5" t="b">
        <v>0</v>
      </c>
      <c r="AA327" s="5">
        <v>4.4970829999999999</v>
      </c>
      <c r="AB327" s="5">
        <v>490.12641213361474</v>
      </c>
    </row>
    <row r="328" spans="2:28" x14ac:dyDescent="0.35">
      <c r="B328" s="5">
        <v>326</v>
      </c>
      <c r="C328" s="5">
        <v>402.45897339087639</v>
      </c>
      <c r="D328" s="5">
        <v>10.579490381250515</v>
      </c>
      <c r="E328" s="5">
        <v>7.9968431255594306</v>
      </c>
      <c r="F328" s="5">
        <v>137.6156093249721</v>
      </c>
      <c r="G328" s="5">
        <v>187.12856546260997</v>
      </c>
      <c r="H328" s="5">
        <v>5.5757890074006742</v>
      </c>
      <c r="I328" s="5">
        <v>1.2550801404343916</v>
      </c>
      <c r="J328" s="5">
        <v>30.102684724014534</v>
      </c>
      <c r="K328" s="5">
        <v>67.611981444332784</v>
      </c>
      <c r="L328" s="5">
        <v>6.5757959898249139</v>
      </c>
      <c r="M328" s="5" t="b">
        <v>0</v>
      </c>
      <c r="N328" s="5" t="b">
        <v>0</v>
      </c>
      <c r="O328" s="5" t="b">
        <v>0</v>
      </c>
      <c r="P328" s="5" t="b">
        <v>0</v>
      </c>
      <c r="Q328" s="5" t="b">
        <v>1</v>
      </c>
      <c r="R328" s="5" t="b">
        <v>0</v>
      </c>
      <c r="S328" s="5" t="b">
        <v>0</v>
      </c>
      <c r="T328" s="5" t="b">
        <v>0</v>
      </c>
      <c r="U328" s="5" t="b">
        <v>0</v>
      </c>
      <c r="V328" s="5" t="b">
        <v>0</v>
      </c>
      <c r="W328" s="5" t="b">
        <v>0</v>
      </c>
      <c r="X328" s="5">
        <v>2</v>
      </c>
      <c r="Y328" s="5">
        <v>1</v>
      </c>
      <c r="Z328" s="5" t="b">
        <v>1</v>
      </c>
      <c r="AA328" s="5">
        <v>3.7512159999999994</v>
      </c>
      <c r="AB328" s="5">
        <v>492.48815739087638</v>
      </c>
    </row>
    <row r="329" spans="2:28" x14ac:dyDescent="0.35">
      <c r="B329" s="5">
        <v>323</v>
      </c>
      <c r="C329" s="5">
        <v>399.35155917973486</v>
      </c>
      <c r="D329" s="5">
        <v>11.710471306506035</v>
      </c>
      <c r="E329" s="5">
        <v>15.28377308551028</v>
      </c>
      <c r="F329" s="5">
        <v>136.3145020747568</v>
      </c>
      <c r="G329" s="5">
        <v>100.77813139517187</v>
      </c>
      <c r="H329" s="5">
        <v>0.81538419993245093</v>
      </c>
      <c r="I329" s="5">
        <v>1.166268752365341</v>
      </c>
      <c r="J329" s="5">
        <v>28.504020181608521</v>
      </c>
      <c r="K329" s="5">
        <v>79.391737235525426</v>
      </c>
      <c r="L329" s="5">
        <v>7.1354080684670436</v>
      </c>
      <c r="M329" s="5" t="b">
        <v>0</v>
      </c>
      <c r="N329" s="5" t="b">
        <v>0</v>
      </c>
      <c r="O329" s="5" t="b">
        <v>0</v>
      </c>
      <c r="P329" s="5" t="b">
        <v>0</v>
      </c>
      <c r="Q329" s="5" t="b">
        <v>0</v>
      </c>
      <c r="R329" s="5" t="b">
        <v>0</v>
      </c>
      <c r="S329" s="5" t="b">
        <v>0</v>
      </c>
      <c r="T329" s="5" t="b">
        <v>0</v>
      </c>
      <c r="U329" s="5" t="b">
        <v>0</v>
      </c>
      <c r="V329" s="5" t="b">
        <v>0</v>
      </c>
      <c r="W329" s="5" t="b">
        <v>0</v>
      </c>
      <c r="X329" s="5">
        <v>0</v>
      </c>
      <c r="Y329" s="5">
        <v>2</v>
      </c>
      <c r="Z329" s="5" t="b">
        <v>1</v>
      </c>
      <c r="AA329" s="5">
        <v>3.9462031999999994</v>
      </c>
      <c r="AB329" s="5">
        <v>494.06043597973485</v>
      </c>
    </row>
    <row r="330" spans="2:28" x14ac:dyDescent="0.35">
      <c r="B330" s="5">
        <v>328</v>
      </c>
      <c r="C330" s="5">
        <v>404.26600704421207</v>
      </c>
      <c r="D330" s="5">
        <v>11.28378956282701</v>
      </c>
      <c r="E330" s="5">
        <v>13.467985045770719</v>
      </c>
      <c r="F330" s="5">
        <v>137.75397170189783</v>
      </c>
      <c r="G330" s="5">
        <v>173.55653075388048</v>
      </c>
      <c r="H330" s="5">
        <v>27.428303480678107</v>
      </c>
      <c r="I330" s="5">
        <v>1.090959697831595</v>
      </c>
      <c r="J330" s="5">
        <v>29.912894984408528</v>
      </c>
      <c r="K330" s="5">
        <v>60.599093713091243</v>
      </c>
      <c r="L330" s="5">
        <v>6.3274900398198941</v>
      </c>
      <c r="M330" s="5" t="b">
        <v>0</v>
      </c>
      <c r="N330" s="5" t="b">
        <v>0</v>
      </c>
      <c r="O330" s="5" t="b">
        <v>0</v>
      </c>
      <c r="P330" s="5" t="b">
        <v>1</v>
      </c>
      <c r="Q330" s="5" t="b">
        <v>0</v>
      </c>
      <c r="R330" s="5" t="b">
        <v>0</v>
      </c>
      <c r="S330" s="5" t="b">
        <v>0</v>
      </c>
      <c r="T330" s="5" t="b">
        <v>0</v>
      </c>
      <c r="U330" s="5" t="b">
        <v>0</v>
      </c>
      <c r="V330" s="5" t="b">
        <v>0</v>
      </c>
      <c r="W330" s="5" t="b">
        <v>0</v>
      </c>
      <c r="X330" s="5">
        <v>3</v>
      </c>
      <c r="Y330" s="5">
        <v>1</v>
      </c>
      <c r="Z330" s="5" t="b">
        <v>1</v>
      </c>
      <c r="AA330" s="5">
        <v>3.8767871999999999</v>
      </c>
      <c r="AB330" s="5">
        <v>497.30889984421208</v>
      </c>
    </row>
    <row r="331" spans="2:28" x14ac:dyDescent="0.35">
      <c r="B331" s="5">
        <v>314</v>
      </c>
      <c r="C331" s="5">
        <v>381.68892988253765</v>
      </c>
      <c r="D331" s="5">
        <v>11.930283434964034</v>
      </c>
      <c r="E331" s="5">
        <v>9.8717774097140261</v>
      </c>
      <c r="F331" s="5">
        <v>133.85389383144485</v>
      </c>
      <c r="G331" s="5">
        <v>145.53304430524892</v>
      </c>
      <c r="H331" s="5">
        <v>22.726674838374677</v>
      </c>
      <c r="I331" s="5">
        <v>1.0659562649911394</v>
      </c>
      <c r="J331" s="5">
        <v>32.336251985660958</v>
      </c>
      <c r="K331" s="5">
        <v>63.356284172015215</v>
      </c>
      <c r="L331" s="5">
        <v>6.8507103177370405</v>
      </c>
      <c r="M331" s="5" t="b">
        <v>0</v>
      </c>
      <c r="N331" s="5" t="b">
        <v>0</v>
      </c>
      <c r="O331" s="5" t="b">
        <v>0</v>
      </c>
      <c r="P331" s="5" t="b">
        <v>0</v>
      </c>
      <c r="Q331" s="5" t="b">
        <v>1</v>
      </c>
      <c r="R331" s="5" t="b">
        <v>0</v>
      </c>
      <c r="S331" s="5" t="b">
        <v>0</v>
      </c>
      <c r="T331" s="5" t="b">
        <v>1</v>
      </c>
      <c r="U331" s="5" t="b">
        <v>0</v>
      </c>
      <c r="V331" s="5" t="b">
        <v>1</v>
      </c>
      <c r="W331" s="5" t="b">
        <v>0</v>
      </c>
      <c r="X331" s="5">
        <v>1</v>
      </c>
      <c r="Y331" s="5">
        <v>1</v>
      </c>
      <c r="Z331" s="5" t="b">
        <v>1</v>
      </c>
      <c r="AA331" s="5">
        <v>4.9031690000000001</v>
      </c>
      <c r="AB331" s="5">
        <v>499.36498588253767</v>
      </c>
    </row>
    <row r="332" spans="2:28" x14ac:dyDescent="0.35">
      <c r="B332" s="5">
        <v>293</v>
      </c>
      <c r="C332" s="5">
        <v>355.47153360115743</v>
      </c>
      <c r="D332" s="5">
        <v>11.160952708138888</v>
      </c>
      <c r="E332" s="5">
        <v>18.159930002414804</v>
      </c>
      <c r="F332" s="5">
        <v>139.70218541059893</v>
      </c>
      <c r="G332" s="5">
        <v>134.28936570003538</v>
      </c>
      <c r="H332" s="5">
        <v>3.3112692985943593</v>
      </c>
      <c r="I332" s="5">
        <v>0.98308073327461387</v>
      </c>
      <c r="J332" s="5">
        <v>33.106691408561026</v>
      </c>
      <c r="K332" s="5">
        <v>92.234455791375836</v>
      </c>
      <c r="L332" s="5">
        <v>7.4319192996500334</v>
      </c>
      <c r="M332" s="5" t="b">
        <v>1</v>
      </c>
      <c r="N332" s="5" t="b">
        <v>0</v>
      </c>
      <c r="O332" s="5" t="b">
        <v>0</v>
      </c>
      <c r="P332" s="5" t="b">
        <v>0</v>
      </c>
      <c r="Q332" s="5" t="b">
        <v>0</v>
      </c>
      <c r="R332" s="5" t="b">
        <v>0</v>
      </c>
      <c r="S332" s="5" t="b">
        <v>0</v>
      </c>
      <c r="T332" s="5" t="b">
        <v>0</v>
      </c>
      <c r="U332" s="5" t="b">
        <v>0</v>
      </c>
      <c r="V332" s="5" t="b">
        <v>0</v>
      </c>
      <c r="W332" s="5" t="b">
        <v>0</v>
      </c>
      <c r="X332" s="5">
        <v>1</v>
      </c>
      <c r="Y332" s="5">
        <v>0</v>
      </c>
      <c r="Z332" s="5" t="b">
        <v>1</v>
      </c>
      <c r="AA332" s="5">
        <v>6.0593367000000002</v>
      </c>
      <c r="AB332" s="5">
        <v>500.89561440115745</v>
      </c>
    </row>
    <row r="333" spans="2:28" x14ac:dyDescent="0.35">
      <c r="B333" s="5">
        <v>387</v>
      </c>
      <c r="C333" s="5">
        <v>478.29276343033968</v>
      </c>
      <c r="D333" s="5">
        <v>12.188713150948649</v>
      </c>
      <c r="E333" s="5">
        <v>6.0846638867946803</v>
      </c>
      <c r="F333" s="5">
        <v>137.78778685829352</v>
      </c>
      <c r="G333" s="5">
        <v>158.33422153426861</v>
      </c>
      <c r="H333" s="5">
        <v>27.226329397781342</v>
      </c>
      <c r="I333" s="5">
        <v>0.49994913378651962</v>
      </c>
      <c r="J333" s="5">
        <v>27.835028087627482</v>
      </c>
      <c r="K333" s="5">
        <v>78.731711721581561</v>
      </c>
      <c r="L333" s="5">
        <v>6.8829192517537159</v>
      </c>
      <c r="M333" s="5" t="b">
        <v>0</v>
      </c>
      <c r="N333" s="5" t="b">
        <v>0</v>
      </c>
      <c r="O333" s="5" t="b">
        <v>0</v>
      </c>
      <c r="P333" s="5" t="b">
        <v>0</v>
      </c>
      <c r="Q333" s="5" t="b">
        <v>0</v>
      </c>
      <c r="R333" s="5" t="b">
        <v>0</v>
      </c>
      <c r="S333" s="5" t="b">
        <v>0</v>
      </c>
      <c r="T333" s="5" t="b">
        <v>0</v>
      </c>
      <c r="U333" s="5" t="b">
        <v>0</v>
      </c>
      <c r="V333" s="5" t="b">
        <v>0</v>
      </c>
      <c r="W333" s="5" t="b">
        <v>0</v>
      </c>
      <c r="X333" s="5">
        <v>2</v>
      </c>
      <c r="Y333" s="5">
        <v>0</v>
      </c>
      <c r="Z333" s="5" t="b">
        <v>0</v>
      </c>
      <c r="AA333" s="5">
        <v>1.0356926</v>
      </c>
      <c r="AB333" s="5">
        <v>503.14938583033967</v>
      </c>
    </row>
    <row r="334" spans="2:28" x14ac:dyDescent="0.35">
      <c r="B334" s="5">
        <v>340</v>
      </c>
      <c r="C334" s="5">
        <v>417.12906913130843</v>
      </c>
      <c r="D334" s="5">
        <v>11.408839553332484</v>
      </c>
      <c r="E334" s="5">
        <v>11.949702859973321</v>
      </c>
      <c r="F334" s="5">
        <v>138.04522856247277</v>
      </c>
      <c r="G334" s="5">
        <v>110.41059803236666</v>
      </c>
      <c r="H334" s="5">
        <v>24.294296719910676</v>
      </c>
      <c r="I334" s="5">
        <v>0.99001025500808404</v>
      </c>
      <c r="J334" s="5">
        <v>30.914008392485616</v>
      </c>
      <c r="K334" s="5">
        <v>52.092995475327427</v>
      </c>
      <c r="L334" s="5">
        <v>5.6480695886257344</v>
      </c>
      <c r="M334" s="5" t="b">
        <v>0</v>
      </c>
      <c r="N334" s="5" t="b">
        <v>0</v>
      </c>
      <c r="O334" s="5" t="b">
        <v>0</v>
      </c>
      <c r="P334" s="5" t="b">
        <v>0</v>
      </c>
      <c r="Q334" s="5" t="b">
        <v>0</v>
      </c>
      <c r="R334" s="5" t="b">
        <v>0</v>
      </c>
      <c r="S334" s="5" t="b">
        <v>0</v>
      </c>
      <c r="T334" s="5" t="b">
        <v>1</v>
      </c>
      <c r="U334" s="5" t="b">
        <v>0</v>
      </c>
      <c r="V334" s="5" t="b">
        <v>1</v>
      </c>
      <c r="W334" s="5" t="b">
        <v>0</v>
      </c>
      <c r="X334" s="5">
        <v>2</v>
      </c>
      <c r="Y334" s="5">
        <v>0</v>
      </c>
      <c r="Z334" s="5" t="b">
        <v>0</v>
      </c>
      <c r="AA334" s="5">
        <v>3.6603083999999999</v>
      </c>
      <c r="AB334" s="5">
        <v>504.97647073130844</v>
      </c>
    </row>
    <row r="335" spans="2:28" x14ac:dyDescent="0.35">
      <c r="B335" s="5">
        <v>291</v>
      </c>
      <c r="C335" s="5">
        <v>354.11285915060853</v>
      </c>
      <c r="D335" s="5">
        <v>11.362195042767709</v>
      </c>
      <c r="E335" s="5">
        <v>10.719664581496763</v>
      </c>
      <c r="F335" s="5">
        <v>133.44846083464745</v>
      </c>
      <c r="G335" s="5">
        <v>174.81369644165255</v>
      </c>
      <c r="H335" s="5">
        <v>30.93352239934682</v>
      </c>
      <c r="I335" s="5">
        <v>1.2419386270682367</v>
      </c>
      <c r="J335" s="5">
        <v>30.130902915620656</v>
      </c>
      <c r="K335" s="5">
        <v>89.106535849209465</v>
      </c>
      <c r="L335" s="5">
        <v>7.3565086833347104</v>
      </c>
      <c r="M335" s="5" t="b">
        <v>0</v>
      </c>
      <c r="N335" s="5" t="b">
        <v>0</v>
      </c>
      <c r="O335" s="5" t="b">
        <v>0</v>
      </c>
      <c r="P335" s="5" t="b">
        <v>0</v>
      </c>
      <c r="Q335" s="5" t="b">
        <v>0</v>
      </c>
      <c r="R335" s="5" t="b">
        <v>1</v>
      </c>
      <c r="S335" s="5" t="b">
        <v>0</v>
      </c>
      <c r="T335" s="5" t="b">
        <v>0</v>
      </c>
      <c r="U335" s="5" t="b">
        <v>0</v>
      </c>
      <c r="V335" s="5" t="b">
        <v>0</v>
      </c>
      <c r="W335" s="5" t="b">
        <v>0</v>
      </c>
      <c r="X335" s="5">
        <v>2</v>
      </c>
      <c r="Y335" s="5">
        <v>0</v>
      </c>
      <c r="Z335" s="5" t="b">
        <v>1</v>
      </c>
      <c r="AA335" s="5">
        <v>6.2996983999999996</v>
      </c>
      <c r="AB335" s="5">
        <v>505.30562075060851</v>
      </c>
    </row>
    <row r="336" spans="2:28" x14ac:dyDescent="0.35">
      <c r="B336" s="5">
        <v>345</v>
      </c>
      <c r="C336" s="5">
        <v>421.8668862592254</v>
      </c>
      <c r="D336" s="5">
        <v>13.329463173844118</v>
      </c>
      <c r="E336" s="5">
        <v>11.268672956289821</v>
      </c>
      <c r="F336" s="5">
        <v>138.78960444408798</v>
      </c>
      <c r="G336" s="5">
        <v>177.25249721917467</v>
      </c>
      <c r="H336" s="5">
        <v>20.302335396325162</v>
      </c>
      <c r="I336" s="5">
        <v>0.69401520619794854</v>
      </c>
      <c r="J336" s="5">
        <v>30.464134035772645</v>
      </c>
      <c r="K336" s="5">
        <v>90.08081707146205</v>
      </c>
      <c r="L336" s="5">
        <v>6.4976303516116731</v>
      </c>
      <c r="M336" s="5" t="b">
        <v>0</v>
      </c>
      <c r="N336" s="5" t="b">
        <v>0</v>
      </c>
      <c r="O336" s="5" t="b">
        <v>0</v>
      </c>
      <c r="P336" s="5" t="b">
        <v>0</v>
      </c>
      <c r="Q336" s="5" t="b">
        <v>0</v>
      </c>
      <c r="R336" s="5" t="b">
        <v>0</v>
      </c>
      <c r="S336" s="5" t="b">
        <v>0</v>
      </c>
      <c r="T336" s="5" t="b">
        <v>0</v>
      </c>
      <c r="U336" s="5" t="b">
        <v>0</v>
      </c>
      <c r="V336" s="5" t="b">
        <v>0</v>
      </c>
      <c r="W336" s="5" t="b">
        <v>0</v>
      </c>
      <c r="X336" s="5">
        <v>2</v>
      </c>
      <c r="Y336" s="5">
        <v>1</v>
      </c>
      <c r="Z336" s="5" t="b">
        <v>0</v>
      </c>
      <c r="AA336" s="5">
        <v>3.477055</v>
      </c>
      <c r="AB336" s="5">
        <v>505.3162062592254</v>
      </c>
    </row>
    <row r="337" spans="2:28" x14ac:dyDescent="0.35">
      <c r="B337" s="5">
        <v>335</v>
      </c>
      <c r="C337" s="5">
        <v>410.28529560080403</v>
      </c>
      <c r="D337" s="5">
        <v>11.143319821583015</v>
      </c>
      <c r="E337" s="5">
        <v>16.345097261342261</v>
      </c>
      <c r="F337" s="5">
        <v>138.264370919355</v>
      </c>
      <c r="G337" s="5">
        <v>118.79153179746578</v>
      </c>
      <c r="H337" s="5">
        <v>8.9377417230504346</v>
      </c>
      <c r="I337" s="5">
        <v>0.77795162025706421</v>
      </c>
      <c r="J337" s="5">
        <v>32.925177707647279</v>
      </c>
      <c r="K337" s="5">
        <v>74.664122140683901</v>
      </c>
      <c r="L337" s="5">
        <v>6.6395791640722557</v>
      </c>
      <c r="M337" s="5" t="b">
        <v>0</v>
      </c>
      <c r="N337" s="5" t="b">
        <v>0</v>
      </c>
      <c r="O337" s="5" t="b">
        <v>1</v>
      </c>
      <c r="P337" s="5" t="b">
        <v>0</v>
      </c>
      <c r="Q337" s="5" t="b">
        <v>1</v>
      </c>
      <c r="R337" s="5" t="b">
        <v>1</v>
      </c>
      <c r="S337" s="5" t="b">
        <v>0</v>
      </c>
      <c r="T337" s="5" t="b">
        <v>0</v>
      </c>
      <c r="U337" s="5" t="b">
        <v>0</v>
      </c>
      <c r="V337" s="5" t="b">
        <v>0</v>
      </c>
      <c r="W337" s="5" t="b">
        <v>0</v>
      </c>
      <c r="X337" s="5">
        <v>1</v>
      </c>
      <c r="Y337" s="5">
        <v>0</v>
      </c>
      <c r="Z337" s="5" t="b">
        <v>0</v>
      </c>
      <c r="AA337" s="5">
        <v>4.0719510000000003</v>
      </c>
      <c r="AB337" s="5">
        <v>508.01211960080406</v>
      </c>
    </row>
    <row r="338" spans="2:28" x14ac:dyDescent="0.35">
      <c r="B338" s="5">
        <v>310</v>
      </c>
      <c r="C338" s="5">
        <v>375.97019686052067</v>
      </c>
      <c r="D338" s="5">
        <v>11.307228567198365</v>
      </c>
      <c r="E338" s="5">
        <v>13.112175368514464</v>
      </c>
      <c r="F338" s="5">
        <v>136.12350550832861</v>
      </c>
      <c r="G338" s="5">
        <v>209.66964829758064</v>
      </c>
      <c r="H338" s="5">
        <v>35.421285632020997</v>
      </c>
      <c r="I338" s="5">
        <v>1.0602754595589974</v>
      </c>
      <c r="J338" s="5">
        <v>26.83682924314828</v>
      </c>
      <c r="K338" s="5">
        <v>71.123519015892271</v>
      </c>
      <c r="L338" s="5">
        <v>6.8614568092093844</v>
      </c>
      <c r="M338" s="5" t="b">
        <v>0</v>
      </c>
      <c r="N338" s="5" t="b">
        <v>0</v>
      </c>
      <c r="O338" s="5" t="b">
        <v>0</v>
      </c>
      <c r="P338" s="5" t="b">
        <v>0</v>
      </c>
      <c r="Q338" s="5" t="b">
        <v>0</v>
      </c>
      <c r="R338" s="5" t="b">
        <v>0</v>
      </c>
      <c r="S338" s="5" t="b">
        <v>0</v>
      </c>
      <c r="T338" s="5" t="b">
        <v>0</v>
      </c>
      <c r="U338" s="5" t="b">
        <v>0</v>
      </c>
      <c r="V338" s="5" t="b">
        <v>0</v>
      </c>
      <c r="W338" s="5" t="b">
        <v>0</v>
      </c>
      <c r="X338" s="5">
        <v>1</v>
      </c>
      <c r="Y338" s="5">
        <v>2</v>
      </c>
      <c r="Z338" s="5" t="b">
        <v>0</v>
      </c>
      <c r="AA338" s="5">
        <v>5.5344667000000003</v>
      </c>
      <c r="AB338" s="5">
        <v>508.79739766052069</v>
      </c>
    </row>
    <row r="339" spans="2:28" x14ac:dyDescent="0.35">
      <c r="B339" s="5">
        <v>393</v>
      </c>
      <c r="C339" s="5">
        <v>486.64080335499011</v>
      </c>
      <c r="D339" s="5">
        <v>14.340944529422428</v>
      </c>
      <c r="E339" s="5">
        <v>8.0743802116255381</v>
      </c>
      <c r="F339" s="5">
        <v>137.75260559044918</v>
      </c>
      <c r="G339" s="5">
        <v>164.73601784802108</v>
      </c>
      <c r="H339" s="5">
        <v>6.3475791454564261</v>
      </c>
      <c r="I339" s="5">
        <v>1.1676973140231908</v>
      </c>
      <c r="J339" s="5">
        <v>29.78188150587858</v>
      </c>
      <c r="K339" s="5">
        <v>83.396277961100537</v>
      </c>
      <c r="L339" s="5">
        <v>6.4580109394925254</v>
      </c>
      <c r="M339" s="5" t="b">
        <v>0</v>
      </c>
      <c r="N339" s="5" t="b">
        <v>0</v>
      </c>
      <c r="O339" s="5" t="b">
        <v>0</v>
      </c>
      <c r="P339" s="5" t="b">
        <v>0</v>
      </c>
      <c r="Q339" s="5" t="b">
        <v>0</v>
      </c>
      <c r="R339" s="5" t="b">
        <v>0</v>
      </c>
      <c r="S339" s="5" t="b">
        <v>0</v>
      </c>
      <c r="T339" s="5" t="b">
        <v>0</v>
      </c>
      <c r="U339" s="5" t="b">
        <v>0</v>
      </c>
      <c r="V339" s="5" t="b">
        <v>0</v>
      </c>
      <c r="W339" s="5" t="b">
        <v>0</v>
      </c>
      <c r="X339" s="5">
        <v>1</v>
      </c>
      <c r="Y339" s="5">
        <v>0</v>
      </c>
      <c r="Z339" s="5" t="b">
        <v>1</v>
      </c>
      <c r="AA339" s="5">
        <v>0.98535119999999998</v>
      </c>
      <c r="AB339" s="5">
        <v>510.28923215499009</v>
      </c>
    </row>
    <row r="340" spans="2:28" x14ac:dyDescent="0.35">
      <c r="B340" s="5">
        <v>352</v>
      </c>
      <c r="C340" s="5">
        <v>429.33737880888822</v>
      </c>
      <c r="D340" s="5">
        <v>10.216898575751978</v>
      </c>
      <c r="E340" s="5">
        <v>15.47061231162083</v>
      </c>
      <c r="F340" s="5">
        <v>136.18850110133246</v>
      </c>
      <c r="G340" s="5">
        <v>160.33953325358095</v>
      </c>
      <c r="H340" s="5">
        <v>8.5224195756617238</v>
      </c>
      <c r="I340" s="5">
        <v>1.0543536359512826</v>
      </c>
      <c r="J340" s="5">
        <v>29.600283916426008</v>
      </c>
      <c r="K340" s="5">
        <v>66.755751769364892</v>
      </c>
      <c r="L340" s="5">
        <v>7.5294808104782494</v>
      </c>
      <c r="M340" s="5" t="b">
        <v>0</v>
      </c>
      <c r="N340" s="5" t="b">
        <v>0</v>
      </c>
      <c r="O340" s="5" t="b">
        <v>1</v>
      </c>
      <c r="P340" s="5" t="b">
        <v>0</v>
      </c>
      <c r="Q340" s="5" t="b">
        <v>0</v>
      </c>
      <c r="R340" s="5" t="b">
        <v>1</v>
      </c>
      <c r="S340" s="5" t="b">
        <v>0</v>
      </c>
      <c r="T340" s="5" t="b">
        <v>0</v>
      </c>
      <c r="U340" s="5" t="b">
        <v>0</v>
      </c>
      <c r="V340" s="5" t="b">
        <v>0</v>
      </c>
      <c r="W340" s="5" t="b">
        <v>0</v>
      </c>
      <c r="X340" s="5">
        <v>1</v>
      </c>
      <c r="Y340" s="5">
        <v>0</v>
      </c>
      <c r="Z340" s="5" t="b">
        <v>1</v>
      </c>
      <c r="AA340" s="5">
        <v>3.4044704000000001</v>
      </c>
      <c r="AB340" s="5">
        <v>511.04466840888824</v>
      </c>
    </row>
    <row r="341" spans="2:28" x14ac:dyDescent="0.35">
      <c r="B341" s="5">
        <v>353</v>
      </c>
      <c r="C341" s="5">
        <v>430.07042061230163</v>
      </c>
      <c r="D341" s="5">
        <v>12.649818490164288</v>
      </c>
      <c r="E341" s="5">
        <v>6.7845845494383568</v>
      </c>
      <c r="F341" s="5">
        <v>135.86257102936725</v>
      </c>
      <c r="G341" s="5">
        <v>220.02549357526672</v>
      </c>
      <c r="H341" s="5">
        <v>22.13890641963706</v>
      </c>
      <c r="I341" s="5">
        <v>1.0098750381142103</v>
      </c>
      <c r="J341" s="5">
        <v>26.951865249205113</v>
      </c>
      <c r="K341" s="5">
        <v>87.61898330928318</v>
      </c>
      <c r="L341" s="5">
        <v>6.6583816722639506</v>
      </c>
      <c r="M341" s="5" t="b">
        <v>0</v>
      </c>
      <c r="N341" s="5" t="b">
        <v>0</v>
      </c>
      <c r="O341" s="5" t="b">
        <v>0</v>
      </c>
      <c r="P341" s="5" t="b">
        <v>0</v>
      </c>
      <c r="Q341" s="5" t="b">
        <v>0</v>
      </c>
      <c r="R341" s="5" t="b">
        <v>0</v>
      </c>
      <c r="S341" s="5" t="b">
        <v>0</v>
      </c>
      <c r="T341" s="5" t="b">
        <v>0</v>
      </c>
      <c r="U341" s="5" t="b">
        <v>0</v>
      </c>
      <c r="V341" s="5" t="b">
        <v>0</v>
      </c>
      <c r="W341" s="5" t="b">
        <v>0</v>
      </c>
      <c r="X341" s="5">
        <v>1</v>
      </c>
      <c r="Y341" s="5">
        <v>1</v>
      </c>
      <c r="Z341" s="5" t="b">
        <v>1</v>
      </c>
      <c r="AA341" s="5">
        <v>3.3928094</v>
      </c>
      <c r="AB341" s="5">
        <v>511.49784621230162</v>
      </c>
    </row>
    <row r="342" spans="2:28" x14ac:dyDescent="0.35">
      <c r="B342" s="5">
        <v>336</v>
      </c>
      <c r="C342" s="5">
        <v>410.34880522804303</v>
      </c>
      <c r="D342" s="5">
        <v>11.26971884381917</v>
      </c>
      <c r="E342" s="5">
        <v>17.714964473720471</v>
      </c>
      <c r="F342" s="5">
        <v>133.52364474415171</v>
      </c>
      <c r="G342" s="5">
        <v>116.92678713872314</v>
      </c>
      <c r="H342" s="5">
        <v>11.954987631036689</v>
      </c>
      <c r="I342" s="5">
        <v>1.1187679872661116</v>
      </c>
      <c r="J342" s="5">
        <v>32.382119600740893</v>
      </c>
      <c r="K342" s="5">
        <v>77.599716601052748</v>
      </c>
      <c r="L342" s="5">
        <v>7.0891439048307365</v>
      </c>
      <c r="M342" s="5" t="b">
        <v>0</v>
      </c>
      <c r="N342" s="5" t="b">
        <v>0</v>
      </c>
      <c r="O342" s="5" t="b">
        <v>0</v>
      </c>
      <c r="P342" s="5" t="b">
        <v>0</v>
      </c>
      <c r="Q342" s="5" t="b">
        <v>0</v>
      </c>
      <c r="R342" s="5" t="b">
        <v>0</v>
      </c>
      <c r="S342" s="5" t="b">
        <v>0</v>
      </c>
      <c r="T342" s="5" t="b">
        <v>0</v>
      </c>
      <c r="U342" s="5" t="b">
        <v>1</v>
      </c>
      <c r="V342" s="5" t="b">
        <v>0</v>
      </c>
      <c r="W342" s="5" t="b">
        <v>0</v>
      </c>
      <c r="X342" s="5">
        <v>1</v>
      </c>
      <c r="Y342" s="5">
        <v>0</v>
      </c>
      <c r="Z342" s="5" t="b">
        <v>0</v>
      </c>
      <c r="AA342" s="5">
        <v>4.259131</v>
      </c>
      <c r="AB342" s="5">
        <v>512.56794922804306</v>
      </c>
    </row>
    <row r="343" spans="2:28" x14ac:dyDescent="0.35">
      <c r="B343" s="5">
        <v>329</v>
      </c>
      <c r="C343" s="5">
        <v>404.38410604152375</v>
      </c>
      <c r="D343" s="5">
        <v>12.872421253496656</v>
      </c>
      <c r="E343" s="5">
        <v>6.8480544836902375</v>
      </c>
      <c r="F343" s="5">
        <v>138.06293189179735</v>
      </c>
      <c r="G343" s="5">
        <v>195.91645884999684</v>
      </c>
      <c r="H343" s="5">
        <v>17.573631657342446</v>
      </c>
      <c r="I343" s="5">
        <v>1.5128863061013869</v>
      </c>
      <c r="J343" s="5">
        <v>27.698428527641077</v>
      </c>
      <c r="K343" s="5">
        <v>75.805939944814568</v>
      </c>
      <c r="L343" s="5">
        <v>7.6613300205680002</v>
      </c>
      <c r="M343" s="5" t="b">
        <v>0</v>
      </c>
      <c r="N343" s="5" t="b">
        <v>0</v>
      </c>
      <c r="O343" s="5" t="b">
        <v>0</v>
      </c>
      <c r="P343" s="5" t="b">
        <v>0</v>
      </c>
      <c r="Q343" s="5" t="b">
        <v>0</v>
      </c>
      <c r="R343" s="5" t="b">
        <v>1</v>
      </c>
      <c r="S343" s="5" t="b">
        <v>0</v>
      </c>
      <c r="T343" s="5" t="b">
        <v>0</v>
      </c>
      <c r="U343" s="5" t="b">
        <v>0</v>
      </c>
      <c r="V343" s="5" t="b">
        <v>0</v>
      </c>
      <c r="W343" s="5" t="b">
        <v>0</v>
      </c>
      <c r="X343" s="5">
        <v>1</v>
      </c>
      <c r="Y343" s="5">
        <v>0</v>
      </c>
      <c r="Z343" s="5" t="b">
        <v>1</v>
      </c>
      <c r="AA343" s="5">
        <v>4.5170690000000002</v>
      </c>
      <c r="AB343" s="5">
        <v>512.79376204152379</v>
      </c>
    </row>
    <row r="344" spans="2:28" x14ac:dyDescent="0.35">
      <c r="B344" s="5">
        <v>302</v>
      </c>
      <c r="C344" s="5">
        <v>363.31663755923523</v>
      </c>
      <c r="D344" s="5">
        <v>9.8923723736739646</v>
      </c>
      <c r="E344" s="5">
        <v>22.007551598718166</v>
      </c>
      <c r="F344" s="5">
        <v>143.66548145695307</v>
      </c>
      <c r="G344" s="5">
        <v>136.37748862484153</v>
      </c>
      <c r="H344" s="5">
        <v>27.200269384150339</v>
      </c>
      <c r="I344" s="5">
        <v>0.73846936093271087</v>
      </c>
      <c r="J344" s="5">
        <v>28.766783385506884</v>
      </c>
      <c r="K344" s="5">
        <v>58.873776959268582</v>
      </c>
      <c r="L344" s="5">
        <v>6.0411716734666427</v>
      </c>
      <c r="M344" s="5" t="b">
        <v>0</v>
      </c>
      <c r="N344" s="5" t="b">
        <v>0</v>
      </c>
      <c r="O344" s="5" t="b">
        <v>0</v>
      </c>
      <c r="P344" s="5" t="b">
        <v>0</v>
      </c>
      <c r="Q344" s="5" t="b">
        <v>0</v>
      </c>
      <c r="R344" s="5" t="b">
        <v>0</v>
      </c>
      <c r="S344" s="5" t="b">
        <v>0</v>
      </c>
      <c r="T344" s="5" t="b">
        <v>0</v>
      </c>
      <c r="U344" s="5" t="b">
        <v>0</v>
      </c>
      <c r="V344" s="5" t="b">
        <v>0</v>
      </c>
      <c r="W344" s="5" t="b">
        <v>0</v>
      </c>
      <c r="X344" s="5">
        <v>1</v>
      </c>
      <c r="Y344" s="5">
        <v>1</v>
      </c>
      <c r="Z344" s="5" t="b">
        <v>0</v>
      </c>
      <c r="AA344" s="5">
        <v>6.2877355000000001</v>
      </c>
      <c r="AB344" s="5">
        <v>514.22228955923515</v>
      </c>
    </row>
    <row r="345" spans="2:28" x14ac:dyDescent="0.35">
      <c r="B345" s="5">
        <v>296</v>
      </c>
      <c r="C345" s="5">
        <v>359.09585213454403</v>
      </c>
      <c r="D345" s="5">
        <v>11.250935640203153</v>
      </c>
      <c r="E345" s="5">
        <v>8.8867415485945553</v>
      </c>
      <c r="F345" s="5">
        <v>138.68670114100695</v>
      </c>
      <c r="G345" s="5">
        <v>143.21612795178419</v>
      </c>
      <c r="H345" s="5">
        <v>12.208143308791398</v>
      </c>
      <c r="I345" s="5">
        <v>1.2145782294638807</v>
      </c>
      <c r="J345" s="5">
        <v>27.147303121608132</v>
      </c>
      <c r="K345" s="5">
        <v>53.595733918693185</v>
      </c>
      <c r="L345" s="5">
        <v>5.6680340808631406</v>
      </c>
      <c r="M345" s="5" t="b">
        <v>0</v>
      </c>
      <c r="N345" s="5" t="b">
        <v>0</v>
      </c>
      <c r="O345" s="5" t="b">
        <v>0</v>
      </c>
      <c r="P345" s="5" t="b">
        <v>0</v>
      </c>
      <c r="Q345" s="5" t="b">
        <v>1</v>
      </c>
      <c r="R345" s="5" t="b">
        <v>1</v>
      </c>
      <c r="S345" s="5" t="b">
        <v>0</v>
      </c>
      <c r="T345" s="5" t="b">
        <v>0</v>
      </c>
      <c r="U345" s="5" t="b">
        <v>0</v>
      </c>
      <c r="V345" s="5" t="b">
        <v>0</v>
      </c>
      <c r="W345" s="5" t="b">
        <v>0</v>
      </c>
      <c r="X345" s="5">
        <v>3</v>
      </c>
      <c r="Y345" s="5">
        <v>2</v>
      </c>
      <c r="Z345" s="5" t="b">
        <v>0</v>
      </c>
      <c r="AA345" s="5">
        <v>6.6843076000000003</v>
      </c>
      <c r="AB345" s="5">
        <v>519.51923453454401</v>
      </c>
    </row>
    <row r="346" spans="2:28" x14ac:dyDescent="0.35">
      <c r="B346" s="5">
        <v>363</v>
      </c>
      <c r="C346" s="5">
        <v>445.75826577395208</v>
      </c>
      <c r="D346" s="5">
        <v>13.635891480206897</v>
      </c>
      <c r="E346" s="5">
        <v>12.949202035710297</v>
      </c>
      <c r="F346" s="5">
        <v>138.92046019786443</v>
      </c>
      <c r="G346" s="5">
        <v>164.78230738544622</v>
      </c>
      <c r="H346" s="5">
        <v>16.12791021428508</v>
      </c>
      <c r="I346" s="5">
        <v>0.90298458264660031</v>
      </c>
      <c r="J346" s="5">
        <v>27.123881304730855</v>
      </c>
      <c r="K346" s="5">
        <v>70.856364010926598</v>
      </c>
      <c r="L346" s="5">
        <v>6.7483431182804958</v>
      </c>
      <c r="M346" s="5" t="b">
        <v>0</v>
      </c>
      <c r="N346" s="5" t="b">
        <v>0</v>
      </c>
      <c r="O346" s="5" t="b">
        <v>0</v>
      </c>
      <c r="P346" s="5" t="b">
        <v>0</v>
      </c>
      <c r="Q346" s="5" t="b">
        <v>0</v>
      </c>
      <c r="R346" s="5" t="b">
        <v>0</v>
      </c>
      <c r="S346" s="5" t="b">
        <v>0</v>
      </c>
      <c r="T346" s="5" t="b">
        <v>0</v>
      </c>
      <c r="U346" s="5" t="b">
        <v>0</v>
      </c>
      <c r="V346" s="5" t="b">
        <v>1</v>
      </c>
      <c r="W346" s="5" t="b">
        <v>0</v>
      </c>
      <c r="X346" s="5">
        <v>1</v>
      </c>
      <c r="Y346" s="5">
        <v>0</v>
      </c>
      <c r="Z346" s="5" t="b">
        <v>0</v>
      </c>
      <c r="AA346" s="5">
        <v>3.0872489999999999</v>
      </c>
      <c r="AB346" s="5">
        <v>519.85224177395207</v>
      </c>
    </row>
    <row r="347" spans="2:28" x14ac:dyDescent="0.35">
      <c r="B347" s="5">
        <v>331</v>
      </c>
      <c r="C347" s="5">
        <v>409.10611982322854</v>
      </c>
      <c r="D347" s="5">
        <v>10.866947081501074</v>
      </c>
      <c r="E347" s="5">
        <v>11.228132059202384</v>
      </c>
      <c r="F347" s="5">
        <v>138.79629724292167</v>
      </c>
      <c r="G347" s="5">
        <v>136.88067397051253</v>
      </c>
      <c r="H347" s="5">
        <v>22.413965287448715</v>
      </c>
      <c r="I347" s="5">
        <v>0.82288424094132817</v>
      </c>
      <c r="J347" s="5">
        <v>31.025707301420116</v>
      </c>
      <c r="K347" s="5">
        <v>93.213526496193722</v>
      </c>
      <c r="L347" s="5">
        <v>6.9843722938041184</v>
      </c>
      <c r="M347" s="5" t="b">
        <v>0</v>
      </c>
      <c r="N347" s="5" t="b">
        <v>0</v>
      </c>
      <c r="O347" s="5" t="b">
        <v>0</v>
      </c>
      <c r="P347" s="5" t="b">
        <v>0</v>
      </c>
      <c r="Q347" s="5" t="b">
        <v>0</v>
      </c>
      <c r="R347" s="5" t="b">
        <v>0</v>
      </c>
      <c r="S347" s="5" t="b">
        <v>0</v>
      </c>
      <c r="T347" s="5" t="b">
        <v>0</v>
      </c>
      <c r="U347" s="5" t="b">
        <v>0</v>
      </c>
      <c r="V347" s="5" t="b">
        <v>1</v>
      </c>
      <c r="W347" s="5" t="b">
        <v>0</v>
      </c>
      <c r="X347" s="5">
        <v>1</v>
      </c>
      <c r="Y347" s="5">
        <v>1</v>
      </c>
      <c r="Z347" s="5" t="b">
        <v>0</v>
      </c>
      <c r="AA347" s="5">
        <v>4.6687060000000002</v>
      </c>
      <c r="AB347" s="5">
        <v>521.15506382322849</v>
      </c>
    </row>
    <row r="348" spans="2:28" x14ac:dyDescent="0.35">
      <c r="B348" s="5">
        <v>348</v>
      </c>
      <c r="C348" s="5">
        <v>427.32954691110109</v>
      </c>
      <c r="D348" s="5">
        <v>10.982440028314462</v>
      </c>
      <c r="E348" s="5">
        <v>7.0952683391994</v>
      </c>
      <c r="F348" s="5">
        <v>138.45683000478573</v>
      </c>
      <c r="G348" s="5">
        <v>164.82270550765293</v>
      </c>
      <c r="H348" s="5">
        <v>24.696953339170364</v>
      </c>
      <c r="I348" s="5">
        <v>1.2388022207819775</v>
      </c>
      <c r="J348" s="5">
        <v>28.927561635585818</v>
      </c>
      <c r="K348" s="5">
        <v>76.587123233198213</v>
      </c>
      <c r="L348" s="5">
        <v>6.9826528643242769</v>
      </c>
      <c r="M348" s="5" t="b">
        <v>0</v>
      </c>
      <c r="N348" s="5" t="b">
        <v>0</v>
      </c>
      <c r="O348" s="5" t="b">
        <v>1</v>
      </c>
      <c r="P348" s="5" t="b">
        <v>0</v>
      </c>
      <c r="Q348" s="5" t="b">
        <v>1</v>
      </c>
      <c r="R348" s="5" t="b">
        <v>1</v>
      </c>
      <c r="S348" s="5" t="b">
        <v>0</v>
      </c>
      <c r="T348" s="5" t="b">
        <v>0</v>
      </c>
      <c r="U348" s="5" t="b">
        <v>0</v>
      </c>
      <c r="V348" s="5" t="b">
        <v>0</v>
      </c>
      <c r="W348" s="5" t="b">
        <v>0</v>
      </c>
      <c r="X348" s="5">
        <v>0</v>
      </c>
      <c r="Y348" s="5">
        <v>1</v>
      </c>
      <c r="Z348" s="5" t="b">
        <v>0</v>
      </c>
      <c r="AA348" s="5">
        <v>3.9608072999999999</v>
      </c>
      <c r="AB348" s="5">
        <v>522.38892211110112</v>
      </c>
    </row>
    <row r="349" spans="2:28" x14ac:dyDescent="0.35">
      <c r="B349" s="5">
        <v>321</v>
      </c>
      <c r="C349" s="5">
        <v>396.05576214010432</v>
      </c>
      <c r="D349" s="5">
        <v>11.333553865982841</v>
      </c>
      <c r="E349" s="5">
        <v>7.1158604208732843</v>
      </c>
      <c r="F349" s="5">
        <v>134.38915233358307</v>
      </c>
      <c r="G349" s="5">
        <v>189.95361458864747</v>
      </c>
      <c r="H349" s="5">
        <v>11.970878349664783</v>
      </c>
      <c r="I349" s="5">
        <v>1.1893634099057433</v>
      </c>
      <c r="J349" s="5">
        <v>30.392071716890012</v>
      </c>
      <c r="K349" s="5">
        <v>50.71469967032678</v>
      </c>
      <c r="L349" s="5">
        <v>6.4218493354301236</v>
      </c>
      <c r="M349" s="5" t="b">
        <v>1</v>
      </c>
      <c r="N349" s="5" t="b">
        <v>0</v>
      </c>
      <c r="O349" s="5" t="b">
        <v>0</v>
      </c>
      <c r="P349" s="5" t="b">
        <v>0</v>
      </c>
      <c r="Q349" s="5" t="b">
        <v>1</v>
      </c>
      <c r="R349" s="5" t="b">
        <v>0</v>
      </c>
      <c r="S349" s="5" t="b">
        <v>0</v>
      </c>
      <c r="T349" s="5" t="b">
        <v>0</v>
      </c>
      <c r="U349" s="5" t="b">
        <v>0</v>
      </c>
      <c r="V349" s="5" t="b">
        <v>0</v>
      </c>
      <c r="W349" s="5" t="b">
        <v>0</v>
      </c>
      <c r="X349" s="5">
        <v>2</v>
      </c>
      <c r="Y349" s="5">
        <v>1</v>
      </c>
      <c r="Z349" s="5" t="b">
        <v>1</v>
      </c>
      <c r="AA349" s="5">
        <v>5.3255733999999997</v>
      </c>
      <c r="AB349" s="5">
        <v>523.86952374010434</v>
      </c>
    </row>
    <row r="350" spans="2:28" x14ac:dyDescent="0.35">
      <c r="B350" s="5">
        <v>358</v>
      </c>
      <c r="C350" s="5">
        <v>438.20877099146719</v>
      </c>
      <c r="D350" s="5">
        <v>11.231456047483983</v>
      </c>
      <c r="E350" s="5">
        <v>12.544102240219292</v>
      </c>
      <c r="F350" s="5">
        <v>133.54964755924516</v>
      </c>
      <c r="G350" s="5">
        <v>172.92154049677058</v>
      </c>
      <c r="H350" s="5">
        <v>17.490376573225088</v>
      </c>
      <c r="I350" s="5">
        <v>0.78356578712200053</v>
      </c>
      <c r="J350" s="5">
        <v>30.060536624997109</v>
      </c>
      <c r="K350" s="5">
        <v>68.711716228863438</v>
      </c>
      <c r="L350" s="5">
        <v>6.6887092127392016</v>
      </c>
      <c r="M350" s="5" t="b">
        <v>0</v>
      </c>
      <c r="N350" s="5" t="b">
        <v>0</v>
      </c>
      <c r="O350" s="5" t="b">
        <v>0</v>
      </c>
      <c r="P350" s="5" t="b">
        <v>0</v>
      </c>
      <c r="Q350" s="5" t="b">
        <v>0</v>
      </c>
      <c r="R350" s="5" t="b">
        <v>1</v>
      </c>
      <c r="S350" s="5" t="b">
        <v>0</v>
      </c>
      <c r="T350" s="5" t="b">
        <v>0</v>
      </c>
      <c r="U350" s="5" t="b">
        <v>0</v>
      </c>
      <c r="V350" s="5" t="b">
        <v>0</v>
      </c>
      <c r="W350" s="5" t="b">
        <v>0</v>
      </c>
      <c r="X350" s="5">
        <v>2</v>
      </c>
      <c r="Y350" s="5">
        <v>0</v>
      </c>
      <c r="Z350" s="5" t="b">
        <v>0</v>
      </c>
      <c r="AA350" s="5">
        <v>3.5794600000000001</v>
      </c>
      <c r="AB350" s="5">
        <v>524.11581099146724</v>
      </c>
    </row>
    <row r="351" spans="2:28" x14ac:dyDescent="0.35">
      <c r="B351" s="5">
        <v>350</v>
      </c>
      <c r="C351" s="5">
        <v>427.4971145278696</v>
      </c>
      <c r="D351" s="5">
        <v>10.397214615717621</v>
      </c>
      <c r="E351" s="5">
        <v>16.256738567873292</v>
      </c>
      <c r="F351" s="5">
        <v>138.85703341140362</v>
      </c>
      <c r="G351" s="5">
        <v>110.83541561793191</v>
      </c>
      <c r="H351" s="5">
        <v>19.253139493742903</v>
      </c>
      <c r="I351" s="5">
        <v>1.1444513460775514</v>
      </c>
      <c r="J351" s="5">
        <v>27.987049003658413</v>
      </c>
      <c r="K351" s="5">
        <v>87.488323421541637</v>
      </c>
      <c r="L351" s="5">
        <v>6.8420329177736559</v>
      </c>
      <c r="M351" s="5" t="b">
        <v>0</v>
      </c>
      <c r="N351" s="5" t="b">
        <v>0</v>
      </c>
      <c r="O351" s="5" t="b">
        <v>0</v>
      </c>
      <c r="P351" s="5" t="b">
        <v>0</v>
      </c>
      <c r="Q351" s="5" t="b">
        <v>0</v>
      </c>
      <c r="R351" s="5" t="b">
        <v>1</v>
      </c>
      <c r="S351" s="5" t="b">
        <v>0</v>
      </c>
      <c r="T351" s="5" t="b">
        <v>0</v>
      </c>
      <c r="U351" s="5" t="b">
        <v>0</v>
      </c>
      <c r="V351" s="5" t="b">
        <v>0</v>
      </c>
      <c r="W351" s="5" t="b">
        <v>0</v>
      </c>
      <c r="X351" s="5">
        <v>2</v>
      </c>
      <c r="Y351" s="5">
        <v>1</v>
      </c>
      <c r="Z351" s="5" t="b">
        <v>1</v>
      </c>
      <c r="AA351" s="5">
        <v>4.0517386999999996</v>
      </c>
      <c r="AB351" s="5">
        <v>524.73884332786952</v>
      </c>
    </row>
    <row r="352" spans="2:28" x14ac:dyDescent="0.35">
      <c r="B352" s="5">
        <v>339</v>
      </c>
      <c r="C352" s="5">
        <v>416.73656678564555</v>
      </c>
      <c r="D352" s="5">
        <v>13.8105252245401</v>
      </c>
      <c r="E352" s="5">
        <v>8.886835411957863</v>
      </c>
      <c r="F352" s="5">
        <v>135.90159989979924</v>
      </c>
      <c r="G352" s="5">
        <v>58.206011825736596</v>
      </c>
      <c r="H352" s="5">
        <v>39.22626634860201</v>
      </c>
      <c r="I352" s="5">
        <v>1.3671172126576483</v>
      </c>
      <c r="J352" s="5">
        <v>30.702724378153025</v>
      </c>
      <c r="K352" s="5">
        <v>67.797921957198682</v>
      </c>
      <c r="L352" s="5">
        <v>5.9762108535380625</v>
      </c>
      <c r="M352" s="5" t="b">
        <v>0</v>
      </c>
      <c r="N352" s="5" t="b">
        <v>1</v>
      </c>
      <c r="O352" s="5" t="b">
        <v>0</v>
      </c>
      <c r="P352" s="5" t="b">
        <v>0</v>
      </c>
      <c r="Q352" s="5" t="b">
        <v>0</v>
      </c>
      <c r="R352" s="5" t="b">
        <v>0</v>
      </c>
      <c r="S352" s="5" t="b">
        <v>0</v>
      </c>
      <c r="T352" s="5" t="b">
        <v>0</v>
      </c>
      <c r="U352" s="5" t="b">
        <v>0</v>
      </c>
      <c r="V352" s="5" t="b">
        <v>0</v>
      </c>
      <c r="W352" s="5" t="b">
        <v>0</v>
      </c>
      <c r="X352" s="5">
        <v>1</v>
      </c>
      <c r="Y352" s="5">
        <v>0</v>
      </c>
      <c r="Z352" s="5" t="b">
        <v>1</v>
      </c>
      <c r="AA352" s="5">
        <v>4.5875459999999997</v>
      </c>
      <c r="AB352" s="5">
        <v>526.83767078564551</v>
      </c>
    </row>
    <row r="353" spans="2:28" x14ac:dyDescent="0.35">
      <c r="B353" s="5">
        <v>380</v>
      </c>
      <c r="C353" s="5">
        <v>469.32744060073071</v>
      </c>
      <c r="D353" s="5">
        <v>13.262009105514952</v>
      </c>
      <c r="E353" s="5">
        <v>20.124784724901588</v>
      </c>
      <c r="F353" s="5">
        <v>136.34734755122437</v>
      </c>
      <c r="G353" s="5">
        <v>138.58475287419847</v>
      </c>
      <c r="H353" s="5">
        <v>8.5048470928386593</v>
      </c>
      <c r="I353" s="5">
        <v>0.88132166688464419</v>
      </c>
      <c r="J353" s="5">
        <v>30.354160363986583</v>
      </c>
      <c r="K353" s="5">
        <v>60.800835090797769</v>
      </c>
      <c r="L353" s="5">
        <v>6.4289619540044107</v>
      </c>
      <c r="M353" s="5" t="b">
        <v>0</v>
      </c>
      <c r="N353" s="5" t="b">
        <v>0</v>
      </c>
      <c r="O353" s="5" t="b">
        <v>0</v>
      </c>
      <c r="P353" s="5" t="b">
        <v>0</v>
      </c>
      <c r="Q353" s="5" t="b">
        <v>0</v>
      </c>
      <c r="R353" s="5" t="b">
        <v>0</v>
      </c>
      <c r="S353" s="5" t="b">
        <v>0</v>
      </c>
      <c r="T353" s="5" t="b">
        <v>0</v>
      </c>
      <c r="U353" s="5" t="b">
        <v>0</v>
      </c>
      <c r="V353" s="5" t="b">
        <v>0</v>
      </c>
      <c r="W353" s="5" t="b">
        <v>0</v>
      </c>
      <c r="X353" s="5">
        <v>0</v>
      </c>
      <c r="Y353" s="5">
        <v>1</v>
      </c>
      <c r="Z353" s="5" t="b">
        <v>0</v>
      </c>
      <c r="AA353" s="5">
        <v>2.4235631999999998</v>
      </c>
      <c r="AB353" s="5">
        <v>527.49295740073069</v>
      </c>
    </row>
    <row r="354" spans="2:28" x14ac:dyDescent="0.35">
      <c r="B354" s="5">
        <v>327</v>
      </c>
      <c r="C354" s="5">
        <v>403.58510537147134</v>
      </c>
      <c r="D354" s="5">
        <v>12.452541885282843</v>
      </c>
      <c r="E354" s="5">
        <v>10.09289736469246</v>
      </c>
      <c r="F354" s="5">
        <v>136.41882163844397</v>
      </c>
      <c r="G354" s="5">
        <v>97.090636601091546</v>
      </c>
      <c r="H354" s="5">
        <v>33.534099053340881</v>
      </c>
      <c r="I354" s="5">
        <v>0.76262132519396397</v>
      </c>
      <c r="J354" s="5">
        <v>27.42218795751889</v>
      </c>
      <c r="K354" s="5">
        <v>74.900159579203077</v>
      </c>
      <c r="L354" s="5">
        <v>6.3786112275944529</v>
      </c>
      <c r="M354" s="5" t="b">
        <v>0</v>
      </c>
      <c r="N354" s="5" t="b">
        <v>0</v>
      </c>
      <c r="O354" s="5" t="b">
        <v>0</v>
      </c>
      <c r="P354" s="5" t="b">
        <v>1</v>
      </c>
      <c r="Q354" s="5" t="b">
        <v>0</v>
      </c>
      <c r="R354" s="5" t="b">
        <v>1</v>
      </c>
      <c r="S354" s="5" t="b">
        <v>0</v>
      </c>
      <c r="T354" s="5" t="b">
        <v>0</v>
      </c>
      <c r="U354" s="5" t="b">
        <v>0</v>
      </c>
      <c r="V354" s="5" t="b">
        <v>0</v>
      </c>
      <c r="W354" s="5" t="b">
        <v>0</v>
      </c>
      <c r="X354" s="5">
        <v>2</v>
      </c>
      <c r="Y354" s="5">
        <v>1</v>
      </c>
      <c r="Z354" s="5" t="b">
        <v>0</v>
      </c>
      <c r="AA354" s="5">
        <v>5.2622799999999996</v>
      </c>
      <c r="AB354" s="5">
        <v>529.87982537147138</v>
      </c>
    </row>
    <row r="355" spans="2:28" x14ac:dyDescent="0.35">
      <c r="B355" s="5">
        <v>356</v>
      </c>
      <c r="C355" s="5">
        <v>434.37508770483845</v>
      </c>
      <c r="D355" s="5">
        <v>12.43586176681929</v>
      </c>
      <c r="E355" s="5">
        <v>11.874400717086999</v>
      </c>
      <c r="F355" s="5">
        <v>140.34522804705162</v>
      </c>
      <c r="G355" s="5">
        <v>144.28785748612501</v>
      </c>
      <c r="H355" s="5">
        <v>26.140654345874211</v>
      </c>
      <c r="I355" s="5">
        <v>0.90704978065435249</v>
      </c>
      <c r="J355" s="5">
        <v>30.17084856900955</v>
      </c>
      <c r="K355" s="5">
        <v>62.419853618722954</v>
      </c>
      <c r="L355" s="5">
        <v>5.760211082089886</v>
      </c>
      <c r="M355" s="5" t="b">
        <v>0</v>
      </c>
      <c r="N355" s="5" t="b">
        <v>0</v>
      </c>
      <c r="O355" s="5" t="b">
        <v>0</v>
      </c>
      <c r="P355" s="5" t="b">
        <v>0</v>
      </c>
      <c r="Q355" s="5" t="b">
        <v>0</v>
      </c>
      <c r="R355" s="5" t="b">
        <v>0</v>
      </c>
      <c r="S355" s="5" t="b">
        <v>0</v>
      </c>
      <c r="T355" s="5" t="b">
        <v>0</v>
      </c>
      <c r="U355" s="5" t="b">
        <v>0</v>
      </c>
      <c r="V355" s="5" t="b">
        <v>0</v>
      </c>
      <c r="W355" s="5" t="b">
        <v>0</v>
      </c>
      <c r="X355" s="5">
        <v>2</v>
      </c>
      <c r="Y355" s="5">
        <v>2</v>
      </c>
      <c r="Z355" s="5" t="b">
        <v>1</v>
      </c>
      <c r="AA355" s="5">
        <v>4.0824999999999996</v>
      </c>
      <c r="AB355" s="5">
        <v>532.35508770483841</v>
      </c>
    </row>
    <row r="356" spans="2:28" x14ac:dyDescent="0.35">
      <c r="B356" s="5">
        <v>404</v>
      </c>
      <c r="C356" s="5">
        <v>504.97647073130844</v>
      </c>
      <c r="D356" s="5">
        <v>11.748809145551201</v>
      </c>
      <c r="E356" s="5">
        <v>15.871325259377873</v>
      </c>
      <c r="F356" s="5">
        <v>129.05833111255617</v>
      </c>
      <c r="G356" s="5">
        <v>131.93734428558216</v>
      </c>
      <c r="H356" s="5">
        <v>21.378372917560558</v>
      </c>
      <c r="I356" s="5">
        <v>1.0877664489043837</v>
      </c>
      <c r="J356" s="5">
        <v>29.226118694525638</v>
      </c>
      <c r="K356" s="5">
        <v>90.934748274626358</v>
      </c>
      <c r="L356" s="5">
        <v>6.6206431008280884</v>
      </c>
      <c r="M356" s="5" t="b">
        <v>0</v>
      </c>
      <c r="N356" s="5" t="b">
        <v>0</v>
      </c>
      <c r="O356" s="5" t="b">
        <v>0</v>
      </c>
      <c r="P356" s="5" t="b">
        <v>0</v>
      </c>
      <c r="Q356" s="5" t="b">
        <v>0</v>
      </c>
      <c r="R356" s="5" t="b">
        <v>0</v>
      </c>
      <c r="S356" s="5" t="b">
        <v>0</v>
      </c>
      <c r="T356" s="5" t="b">
        <v>0</v>
      </c>
      <c r="U356" s="5" t="b">
        <v>0</v>
      </c>
      <c r="V356" s="5" t="b">
        <v>0</v>
      </c>
      <c r="W356" s="5" t="b">
        <v>0</v>
      </c>
      <c r="X356" s="5">
        <v>2</v>
      </c>
      <c r="Y356" s="5">
        <v>0</v>
      </c>
      <c r="Z356" s="5" t="b">
        <v>0</v>
      </c>
      <c r="AA356" s="5">
        <v>1.4241245999999999</v>
      </c>
      <c r="AB356" s="5">
        <v>539.15546113130847</v>
      </c>
    </row>
    <row r="357" spans="2:28" x14ac:dyDescent="0.35">
      <c r="B357" s="5">
        <v>397</v>
      </c>
      <c r="C357" s="5">
        <v>490.12641213361474</v>
      </c>
      <c r="D357" s="5">
        <v>11.248230702220846</v>
      </c>
      <c r="E357" s="5">
        <v>12.183386144943965</v>
      </c>
      <c r="F357" s="5">
        <v>135.7422779730594</v>
      </c>
      <c r="G357" s="5">
        <v>197.45238671772137</v>
      </c>
      <c r="H357" s="5">
        <v>11.815907423735176</v>
      </c>
      <c r="I357" s="5">
        <v>0.92813543086467742</v>
      </c>
      <c r="J357" s="5">
        <v>31.522098126005272</v>
      </c>
      <c r="K357" s="5">
        <v>92.128754851368342</v>
      </c>
      <c r="L357" s="5">
        <v>6.6567478150957884</v>
      </c>
      <c r="M357" s="5" t="b">
        <v>0</v>
      </c>
      <c r="N357" s="5" t="b">
        <v>0</v>
      </c>
      <c r="O357" s="5" t="b">
        <v>0</v>
      </c>
      <c r="P357" s="5" t="b">
        <v>0</v>
      </c>
      <c r="Q357" s="5" t="b">
        <v>0</v>
      </c>
      <c r="R357" s="5" t="b">
        <v>0</v>
      </c>
      <c r="S357" s="5" t="b">
        <v>0</v>
      </c>
      <c r="T357" s="5" t="b">
        <v>0</v>
      </c>
      <c r="U357" s="5" t="b">
        <v>0</v>
      </c>
      <c r="V357" s="5" t="b">
        <v>0</v>
      </c>
      <c r="W357" s="5" t="b">
        <v>0</v>
      </c>
      <c r="X357" s="5">
        <v>2</v>
      </c>
      <c r="Y357" s="5">
        <v>0</v>
      </c>
      <c r="Z357" s="5" t="b">
        <v>1</v>
      </c>
      <c r="AA357" s="5">
        <v>2.1044839999999998</v>
      </c>
      <c r="AB357" s="5">
        <v>540.63402813361472</v>
      </c>
    </row>
    <row r="358" spans="2:28" x14ac:dyDescent="0.35">
      <c r="B358" s="5">
        <v>415</v>
      </c>
      <c r="C358" s="5">
        <v>519.51923453454401</v>
      </c>
      <c r="D358" s="5">
        <v>15.453531588720896</v>
      </c>
      <c r="E358" s="5">
        <v>11.846407230427651</v>
      </c>
      <c r="F358" s="5">
        <v>139.51665166813123</v>
      </c>
      <c r="G358" s="5">
        <v>138.34664842621191</v>
      </c>
      <c r="H358" s="5">
        <v>15.437468509309031</v>
      </c>
      <c r="I358" s="5">
        <v>0.99871749201091986</v>
      </c>
      <c r="J358" s="5">
        <v>31.253417229918725</v>
      </c>
      <c r="K358" s="5">
        <v>68.201885788699556</v>
      </c>
      <c r="L358" s="5">
        <v>6.386757809416391</v>
      </c>
      <c r="M358" s="5" t="b">
        <v>0</v>
      </c>
      <c r="N358" s="5" t="b">
        <v>0</v>
      </c>
      <c r="O358" s="5" t="b">
        <v>0</v>
      </c>
      <c r="P358" s="5" t="b">
        <v>0</v>
      </c>
      <c r="Q358" s="5" t="b">
        <v>0</v>
      </c>
      <c r="R358" s="5" t="b">
        <v>0</v>
      </c>
      <c r="S358" s="5" t="b">
        <v>0</v>
      </c>
      <c r="T358" s="5" t="b">
        <v>0</v>
      </c>
      <c r="U358" s="5" t="b">
        <v>0</v>
      </c>
      <c r="V358" s="5" t="b">
        <v>0</v>
      </c>
      <c r="W358" s="5" t="b">
        <v>0</v>
      </c>
      <c r="X358" s="5">
        <v>2</v>
      </c>
      <c r="Y358" s="5">
        <v>0</v>
      </c>
      <c r="Z358" s="5" t="b">
        <v>0</v>
      </c>
      <c r="AA358" s="5">
        <v>0.88837229999999989</v>
      </c>
      <c r="AB358" s="5">
        <v>540.84016973454402</v>
      </c>
    </row>
    <row r="359" spans="2:28" x14ac:dyDescent="0.35">
      <c r="B359" s="5">
        <v>271</v>
      </c>
      <c r="C359" s="5">
        <v>332.07265099475876</v>
      </c>
      <c r="D359" s="5">
        <v>9.9397327483732631</v>
      </c>
      <c r="E359" s="5">
        <v>16.175731779191381</v>
      </c>
      <c r="F359" s="5">
        <v>139.74854565868225</v>
      </c>
      <c r="G359" s="5">
        <v>140.42432049406509</v>
      </c>
      <c r="H359" s="5">
        <v>28.668233076170033</v>
      </c>
      <c r="I359" s="5">
        <v>1.3717983984774007</v>
      </c>
      <c r="J359" s="5">
        <v>27.101274863234245</v>
      </c>
      <c r="K359" s="5">
        <v>94.574882123515948</v>
      </c>
      <c r="L359" s="5">
        <v>6.0500831092139276</v>
      </c>
      <c r="M359" s="5" t="b">
        <v>0</v>
      </c>
      <c r="N359" s="5" t="b">
        <v>0</v>
      </c>
      <c r="O359" s="5" t="b">
        <v>0</v>
      </c>
      <c r="P359" s="5" t="b">
        <v>0</v>
      </c>
      <c r="Q359" s="5" t="b">
        <v>0</v>
      </c>
      <c r="R359" s="5" t="b">
        <v>0</v>
      </c>
      <c r="S359" s="5" t="b">
        <v>0</v>
      </c>
      <c r="T359" s="5" t="b">
        <v>0</v>
      </c>
      <c r="U359" s="5" t="b">
        <v>0</v>
      </c>
      <c r="V359" s="5" t="b">
        <v>0</v>
      </c>
      <c r="W359" s="5" t="b">
        <v>0</v>
      </c>
      <c r="X359" s="5">
        <v>1</v>
      </c>
      <c r="Y359" s="5">
        <v>2</v>
      </c>
      <c r="Z359" s="5" t="b">
        <v>0</v>
      </c>
      <c r="AA359" s="5">
        <v>8.7153200000000002</v>
      </c>
      <c r="AB359" s="5">
        <v>541.24033099475878</v>
      </c>
    </row>
    <row r="360" spans="2:28" x14ac:dyDescent="0.35">
      <c r="B360" s="5">
        <v>347</v>
      </c>
      <c r="C360" s="5">
        <v>425.10314476077201</v>
      </c>
      <c r="D360" s="5">
        <v>10.454876691449423</v>
      </c>
      <c r="E360" s="5">
        <v>7.2331974401573831</v>
      </c>
      <c r="F360" s="5">
        <v>138.67148294975001</v>
      </c>
      <c r="G360" s="5">
        <v>192.71425288941475</v>
      </c>
      <c r="H360" s="5">
        <v>16.72150632639066</v>
      </c>
      <c r="I360" s="5">
        <v>1.2210927749087168</v>
      </c>
      <c r="J360" s="5">
        <v>25.709391555661082</v>
      </c>
      <c r="K360" s="5">
        <v>70.946593184874402</v>
      </c>
      <c r="L360" s="5">
        <v>6.0573830399091664</v>
      </c>
      <c r="M360" s="5" t="b">
        <v>0</v>
      </c>
      <c r="N360" s="5" t="b">
        <v>0</v>
      </c>
      <c r="O360" s="5" t="b">
        <v>1</v>
      </c>
      <c r="P360" s="5" t="b">
        <v>0</v>
      </c>
      <c r="Q360" s="5" t="b">
        <v>0</v>
      </c>
      <c r="R360" s="5" t="b">
        <v>0</v>
      </c>
      <c r="S360" s="5" t="b">
        <v>0</v>
      </c>
      <c r="T360" s="5" t="b">
        <v>0</v>
      </c>
      <c r="U360" s="5" t="b">
        <v>0</v>
      </c>
      <c r="V360" s="5" t="b">
        <v>0</v>
      </c>
      <c r="W360" s="5" t="b">
        <v>0</v>
      </c>
      <c r="X360" s="5">
        <v>1</v>
      </c>
      <c r="Y360" s="5">
        <v>1</v>
      </c>
      <c r="Z360" s="5" t="b">
        <v>0</v>
      </c>
      <c r="AA360" s="5">
        <v>4.8481370000000004</v>
      </c>
      <c r="AB360" s="5">
        <v>541.45843276077198</v>
      </c>
    </row>
    <row r="361" spans="2:28" x14ac:dyDescent="0.35">
      <c r="B361" s="5">
        <v>409</v>
      </c>
      <c r="C361" s="5">
        <v>510.28923215499009</v>
      </c>
      <c r="D361" s="5">
        <v>10.186992045159768</v>
      </c>
      <c r="E361" s="5">
        <v>2.5495031684554164</v>
      </c>
      <c r="F361" s="5">
        <v>140.4030142710433</v>
      </c>
      <c r="G361" s="5">
        <v>125.52479790570068</v>
      </c>
      <c r="H361" s="5">
        <v>23.563379461845699</v>
      </c>
      <c r="I361" s="5">
        <v>1.3108679650566608</v>
      </c>
      <c r="J361" s="5">
        <v>28.208167948754724</v>
      </c>
      <c r="K361" s="5">
        <v>72.771279297385092</v>
      </c>
      <c r="L361" s="5">
        <v>6.2255597459230332</v>
      </c>
      <c r="M361" s="5" t="b">
        <v>0</v>
      </c>
      <c r="N361" s="5" t="b">
        <v>0</v>
      </c>
      <c r="O361" s="5" t="b">
        <v>0</v>
      </c>
      <c r="P361" s="5" t="b">
        <v>0</v>
      </c>
      <c r="Q361" s="5" t="b">
        <v>0</v>
      </c>
      <c r="R361" s="5" t="b">
        <v>0</v>
      </c>
      <c r="S361" s="5" t="b">
        <v>0</v>
      </c>
      <c r="T361" s="5" t="b">
        <v>0</v>
      </c>
      <c r="U361" s="5" t="b">
        <v>0</v>
      </c>
      <c r="V361" s="5" t="b">
        <v>0</v>
      </c>
      <c r="W361" s="5" t="b">
        <v>0</v>
      </c>
      <c r="X361" s="5">
        <v>1</v>
      </c>
      <c r="Y361" s="5">
        <v>0</v>
      </c>
      <c r="Z361" s="5" t="b">
        <v>1</v>
      </c>
      <c r="AA361" s="5">
        <v>1.3035319000000003</v>
      </c>
      <c r="AB361" s="5">
        <v>541.57399775499005</v>
      </c>
    </row>
    <row r="362" spans="2:28" x14ac:dyDescent="0.35">
      <c r="B362" s="5">
        <v>372</v>
      </c>
      <c r="C362" s="5">
        <v>457.48110701046721</v>
      </c>
      <c r="D362" s="5">
        <v>12.017536632006706</v>
      </c>
      <c r="E362" s="5">
        <v>5.4379127823774578</v>
      </c>
      <c r="F362" s="5">
        <v>136.94076486163758</v>
      </c>
      <c r="G362" s="5">
        <v>155.68470256655908</v>
      </c>
      <c r="H362" s="5">
        <v>17.123113855591068</v>
      </c>
      <c r="I362" s="5">
        <v>0.53084356769572427</v>
      </c>
      <c r="J362" s="5">
        <v>31.017158773264306</v>
      </c>
      <c r="K362" s="5">
        <v>68.768242517620237</v>
      </c>
      <c r="L362" s="5">
        <v>7.6749512696746969</v>
      </c>
      <c r="M362" s="5" t="b">
        <v>0</v>
      </c>
      <c r="N362" s="5" t="b">
        <v>0</v>
      </c>
      <c r="O362" s="5" t="b">
        <v>0</v>
      </c>
      <c r="P362" s="5" t="b">
        <v>0</v>
      </c>
      <c r="Q362" s="5" t="b">
        <v>0</v>
      </c>
      <c r="R362" s="5" t="b">
        <v>1</v>
      </c>
      <c r="S362" s="5" t="b">
        <v>0</v>
      </c>
      <c r="T362" s="5" t="b">
        <v>0</v>
      </c>
      <c r="U362" s="5" t="b">
        <v>0</v>
      </c>
      <c r="V362" s="5" t="b">
        <v>0</v>
      </c>
      <c r="W362" s="5" t="b">
        <v>0</v>
      </c>
      <c r="X362" s="5">
        <v>1</v>
      </c>
      <c r="Y362" s="5">
        <v>0</v>
      </c>
      <c r="Z362" s="5" t="b">
        <v>0</v>
      </c>
      <c r="AA362" s="5">
        <v>3.5083734999999994</v>
      </c>
      <c r="AB362" s="5">
        <v>541.68207101046721</v>
      </c>
    </row>
    <row r="363" spans="2:28" x14ac:dyDescent="0.35">
      <c r="B363" s="5">
        <v>355</v>
      </c>
      <c r="C363" s="5">
        <v>433.18465626348865</v>
      </c>
      <c r="D363" s="5">
        <v>14.481968078331542</v>
      </c>
      <c r="E363" s="5">
        <v>10.559494086796278</v>
      </c>
      <c r="F363" s="5">
        <v>137.59302884175673</v>
      </c>
      <c r="G363" s="5">
        <v>150.69316488823009</v>
      </c>
      <c r="H363" s="5">
        <v>7.4746970147448231</v>
      </c>
      <c r="I363" s="5">
        <v>1.3864322760084706</v>
      </c>
      <c r="J363" s="5">
        <v>29.634372052556447</v>
      </c>
      <c r="K363" s="5">
        <v>77.860197420528891</v>
      </c>
      <c r="L363" s="5">
        <v>6.5406525260610913</v>
      </c>
      <c r="M363" s="5" t="b">
        <v>0</v>
      </c>
      <c r="N363" s="5" t="b">
        <v>0</v>
      </c>
      <c r="O363" s="5" t="b">
        <v>0</v>
      </c>
      <c r="P363" s="5" t="b">
        <v>0</v>
      </c>
      <c r="Q363" s="5" t="b">
        <v>0</v>
      </c>
      <c r="R363" s="5" t="b">
        <v>1</v>
      </c>
      <c r="S363" s="5" t="b">
        <v>0</v>
      </c>
      <c r="T363" s="5" t="b">
        <v>0</v>
      </c>
      <c r="U363" s="5" t="b">
        <v>0</v>
      </c>
      <c r="V363" s="5" t="b">
        <v>0</v>
      </c>
      <c r="W363" s="5" t="b">
        <v>0</v>
      </c>
      <c r="X363" s="5">
        <v>1</v>
      </c>
      <c r="Y363" s="5">
        <v>1</v>
      </c>
      <c r="Z363" s="5" t="b">
        <v>1</v>
      </c>
      <c r="AA363" s="5">
        <v>4.5807029999999997</v>
      </c>
      <c r="AB363" s="5">
        <v>543.12152826348859</v>
      </c>
    </row>
    <row r="364" spans="2:28" x14ac:dyDescent="0.35">
      <c r="B364" s="5">
        <v>292</v>
      </c>
      <c r="C364" s="5">
        <v>355.32394190310293</v>
      </c>
      <c r="D364" s="5">
        <v>12.85418811572657</v>
      </c>
      <c r="E364" s="5">
        <v>3.9547432239469256</v>
      </c>
      <c r="F364" s="5">
        <v>137.02271377034231</v>
      </c>
      <c r="G364" s="5">
        <v>112.76793988783345</v>
      </c>
      <c r="H364" s="5">
        <v>33.818561669349769</v>
      </c>
      <c r="I364" s="5">
        <v>1.1806914103284891</v>
      </c>
      <c r="J364" s="5">
        <v>26.991305821866018</v>
      </c>
      <c r="K364" s="5">
        <v>79.112645757360625</v>
      </c>
      <c r="L364" s="5">
        <v>5.8088397854157634</v>
      </c>
      <c r="M364" s="5" t="b">
        <v>0</v>
      </c>
      <c r="N364" s="5" t="b">
        <v>0</v>
      </c>
      <c r="O364" s="5" t="b">
        <v>0</v>
      </c>
      <c r="P364" s="5" t="b">
        <v>0</v>
      </c>
      <c r="Q364" s="5" t="b">
        <v>0</v>
      </c>
      <c r="R364" s="5" t="b">
        <v>0</v>
      </c>
      <c r="S364" s="5" t="b">
        <v>0</v>
      </c>
      <c r="T364" s="5" t="b">
        <v>0</v>
      </c>
      <c r="U364" s="5" t="b">
        <v>0</v>
      </c>
      <c r="V364" s="5" t="b">
        <v>0</v>
      </c>
      <c r="W364" s="5" t="b">
        <v>0</v>
      </c>
      <c r="X364" s="5">
        <v>1</v>
      </c>
      <c r="Y364" s="5">
        <v>4</v>
      </c>
      <c r="Z364" s="5" t="b">
        <v>0</v>
      </c>
      <c r="AA364" s="5">
        <v>7.8372293000000006</v>
      </c>
      <c r="AB364" s="5">
        <v>543.41744510310298</v>
      </c>
    </row>
    <row r="365" spans="2:28" x14ac:dyDescent="0.35">
      <c r="B365" s="5">
        <v>403</v>
      </c>
      <c r="C365" s="5">
        <v>503.14938583033967</v>
      </c>
      <c r="D365" s="5">
        <v>12.651306820711019</v>
      </c>
      <c r="E365" s="5">
        <v>7.4197234833718095</v>
      </c>
      <c r="F365" s="5">
        <v>139.13954738698021</v>
      </c>
      <c r="G365" s="5">
        <v>140.17829084656333</v>
      </c>
      <c r="H365" s="5">
        <v>26.516735671699536</v>
      </c>
      <c r="I365" s="5">
        <v>1.0590773722510103</v>
      </c>
      <c r="J365" s="5">
        <v>33.157039573372181</v>
      </c>
      <c r="K365" s="5">
        <v>74.426523954242043</v>
      </c>
      <c r="L365" s="5">
        <v>5.5923446481765771</v>
      </c>
      <c r="M365" s="5" t="b">
        <v>0</v>
      </c>
      <c r="N365" s="5" t="b">
        <v>0</v>
      </c>
      <c r="O365" s="5" t="b">
        <v>0</v>
      </c>
      <c r="P365" s="5" t="b">
        <v>0</v>
      </c>
      <c r="Q365" s="5" t="b">
        <v>0</v>
      </c>
      <c r="R365" s="5" t="b">
        <v>0</v>
      </c>
      <c r="S365" s="5" t="b">
        <v>0</v>
      </c>
      <c r="T365" s="5" t="b">
        <v>0</v>
      </c>
      <c r="U365" s="5" t="b">
        <v>0</v>
      </c>
      <c r="V365" s="5" t="b">
        <v>0</v>
      </c>
      <c r="W365" s="5" t="b">
        <v>0</v>
      </c>
      <c r="X365" s="5">
        <v>2</v>
      </c>
      <c r="Y365" s="5">
        <v>0</v>
      </c>
      <c r="Z365" s="5" t="b">
        <v>1</v>
      </c>
      <c r="AA365" s="5">
        <v>1.6920774999999999</v>
      </c>
      <c r="AB365" s="5">
        <v>543.75924583033964</v>
      </c>
    </row>
    <row r="366" spans="2:28" x14ac:dyDescent="0.35">
      <c r="B366" s="5">
        <v>354</v>
      </c>
      <c r="C366" s="5">
        <v>431.86344391744757</v>
      </c>
      <c r="D366" s="5">
        <v>11.038787865753415</v>
      </c>
      <c r="E366" s="5">
        <v>16.333860161900397</v>
      </c>
      <c r="F366" s="5">
        <v>137.94426632696494</v>
      </c>
      <c r="G366" s="5">
        <v>172.73952500312839</v>
      </c>
      <c r="H366" s="5">
        <v>17.482354025834841</v>
      </c>
      <c r="I366" s="5">
        <v>1.6090388990066524</v>
      </c>
      <c r="J366" s="5">
        <v>31.45159704433345</v>
      </c>
      <c r="K366" s="5">
        <v>56.712844246307967</v>
      </c>
      <c r="L366" s="5">
        <v>6.0436971257679977</v>
      </c>
      <c r="M366" s="5" t="b">
        <v>0</v>
      </c>
      <c r="N366" s="5" t="b">
        <v>0</v>
      </c>
      <c r="O366" s="5" t="b">
        <v>0</v>
      </c>
      <c r="P366" s="5" t="b">
        <v>0</v>
      </c>
      <c r="Q366" s="5" t="b">
        <v>0</v>
      </c>
      <c r="R366" s="5" t="b">
        <v>1</v>
      </c>
      <c r="S366" s="5" t="b">
        <v>0</v>
      </c>
      <c r="T366" s="5" t="b">
        <v>1</v>
      </c>
      <c r="U366" s="5" t="b">
        <v>0</v>
      </c>
      <c r="V366" s="5" t="b">
        <v>0</v>
      </c>
      <c r="W366" s="5" t="b">
        <v>0</v>
      </c>
      <c r="X366" s="5">
        <v>0</v>
      </c>
      <c r="Y366" s="5">
        <v>0</v>
      </c>
      <c r="Z366" s="5" t="b">
        <v>0</v>
      </c>
      <c r="AA366" s="5">
        <v>4.7282840000000004</v>
      </c>
      <c r="AB366" s="5">
        <v>545.34225991744756</v>
      </c>
    </row>
    <row r="367" spans="2:28" x14ac:dyDescent="0.35">
      <c r="B367" s="5">
        <v>318</v>
      </c>
      <c r="C367" s="5">
        <v>390.90163378884967</v>
      </c>
      <c r="D367" s="5">
        <v>11.064814025332648</v>
      </c>
      <c r="E367" s="5">
        <v>20.046293308601907</v>
      </c>
      <c r="F367" s="5">
        <v>139.42713276838634</v>
      </c>
      <c r="G367" s="5">
        <v>179.44207536303722</v>
      </c>
      <c r="H367" s="5">
        <v>3.6068876901463174</v>
      </c>
      <c r="I367" s="5">
        <v>0.83086435863043429</v>
      </c>
      <c r="J367" s="5">
        <v>32.207687104213761</v>
      </c>
      <c r="K367" s="5">
        <v>74.709501635654334</v>
      </c>
      <c r="L367" s="5">
        <v>6.8686936701578123</v>
      </c>
      <c r="M367" s="5" t="b">
        <v>0</v>
      </c>
      <c r="N367" s="5" t="b">
        <v>0</v>
      </c>
      <c r="O367" s="5" t="b">
        <v>0</v>
      </c>
      <c r="P367" s="5" t="b">
        <v>0</v>
      </c>
      <c r="Q367" s="5" t="b">
        <v>0</v>
      </c>
      <c r="R367" s="5" t="b">
        <v>0</v>
      </c>
      <c r="S367" s="5" t="b">
        <v>0</v>
      </c>
      <c r="T367" s="5" t="b">
        <v>0</v>
      </c>
      <c r="U367" s="5" t="b">
        <v>0</v>
      </c>
      <c r="V367" s="5" t="b">
        <v>0</v>
      </c>
      <c r="W367" s="5" t="b">
        <v>0</v>
      </c>
      <c r="X367" s="5">
        <v>1</v>
      </c>
      <c r="Y367" s="5">
        <v>2</v>
      </c>
      <c r="Z367" s="5" t="b">
        <v>0</v>
      </c>
      <c r="AA367" s="5">
        <v>6.49444</v>
      </c>
      <c r="AB367" s="5">
        <v>546.76819378884966</v>
      </c>
    </row>
    <row r="368" spans="2:28" x14ac:dyDescent="0.35">
      <c r="B368" s="5">
        <v>330</v>
      </c>
      <c r="C368" s="5">
        <v>407.49242978613808</v>
      </c>
      <c r="D368" s="5">
        <v>12.526157957838153</v>
      </c>
      <c r="E368" s="5">
        <v>7.3495442806694058</v>
      </c>
      <c r="F368" s="5">
        <v>137.46372075315259</v>
      </c>
      <c r="G368" s="5">
        <v>94.511292723438743</v>
      </c>
      <c r="H368" s="5">
        <v>26.935679359810628</v>
      </c>
      <c r="I368" s="5">
        <v>1.2439820872405714</v>
      </c>
      <c r="J368" s="5">
        <v>29.996978609318376</v>
      </c>
      <c r="K368" s="5">
        <v>65.785529185470878</v>
      </c>
      <c r="L368" s="5">
        <v>6.2524547802867794</v>
      </c>
      <c r="M368" s="5" t="b">
        <v>0</v>
      </c>
      <c r="N368" s="5" t="b">
        <v>0</v>
      </c>
      <c r="O368" s="5" t="b">
        <v>0</v>
      </c>
      <c r="P368" s="5" t="b">
        <v>0</v>
      </c>
      <c r="Q368" s="5" t="b">
        <v>0</v>
      </c>
      <c r="R368" s="5" t="b">
        <v>1</v>
      </c>
      <c r="S368" s="5" t="b">
        <v>0</v>
      </c>
      <c r="T368" s="5" t="b">
        <v>0</v>
      </c>
      <c r="U368" s="5" t="b">
        <v>0</v>
      </c>
      <c r="V368" s="5" t="b">
        <v>0</v>
      </c>
      <c r="W368" s="5" t="b">
        <v>0</v>
      </c>
      <c r="X368" s="5">
        <v>1</v>
      </c>
      <c r="Y368" s="5">
        <v>3</v>
      </c>
      <c r="Z368" s="5" t="b">
        <v>0</v>
      </c>
      <c r="AA368" s="5">
        <v>5.8884129999999999</v>
      </c>
      <c r="AB368" s="5">
        <v>548.81434178613813</v>
      </c>
    </row>
    <row r="369" spans="2:28" x14ac:dyDescent="0.35">
      <c r="B369" s="5">
        <v>405</v>
      </c>
      <c r="C369" s="5">
        <v>505.30562075060851</v>
      </c>
      <c r="D369" s="5">
        <v>13.666577737063507</v>
      </c>
      <c r="E369" s="5">
        <v>12.554275345133664</v>
      </c>
      <c r="F369" s="5">
        <v>140.37663979115433</v>
      </c>
      <c r="G369" s="5">
        <v>104.65729766568984</v>
      </c>
      <c r="H369" s="5">
        <v>29.353012510615901</v>
      </c>
      <c r="I369" s="5">
        <v>1.1030033204544352</v>
      </c>
      <c r="J369" s="5">
        <v>29.963176919082329</v>
      </c>
      <c r="K369" s="5">
        <v>44.416029104219234</v>
      </c>
      <c r="L369" s="5">
        <v>6.9627964498944008</v>
      </c>
      <c r="M369" s="5" t="b">
        <v>0</v>
      </c>
      <c r="N369" s="5" t="b">
        <v>0</v>
      </c>
      <c r="O369" s="5" t="b">
        <v>0</v>
      </c>
      <c r="P369" s="5" t="b">
        <v>0</v>
      </c>
      <c r="Q369" s="5" t="b">
        <v>0</v>
      </c>
      <c r="R369" s="5" t="b">
        <v>0</v>
      </c>
      <c r="S369" s="5" t="b">
        <v>0</v>
      </c>
      <c r="T369" s="5" t="b">
        <v>0</v>
      </c>
      <c r="U369" s="5" t="b">
        <v>0</v>
      </c>
      <c r="V369" s="5" t="b">
        <v>0</v>
      </c>
      <c r="W369" s="5" t="b">
        <v>0</v>
      </c>
      <c r="X369" s="5">
        <v>1</v>
      </c>
      <c r="Y369" s="5">
        <v>0</v>
      </c>
      <c r="Z369" s="5" t="b">
        <v>0</v>
      </c>
      <c r="AA369" s="5">
        <v>1.8167235000000002</v>
      </c>
      <c r="AB369" s="5">
        <v>548.90698475060856</v>
      </c>
    </row>
    <row r="370" spans="2:28" x14ac:dyDescent="0.35">
      <c r="B370" s="5">
        <v>317</v>
      </c>
      <c r="C370" s="5">
        <v>390.45271372793985</v>
      </c>
      <c r="D370" s="5">
        <v>14.183812062242994</v>
      </c>
      <c r="E370" s="5">
        <v>13.383637672576654</v>
      </c>
      <c r="F370" s="5">
        <v>142.7841417619114</v>
      </c>
      <c r="G370" s="5">
        <v>128.68757346159518</v>
      </c>
      <c r="H370" s="5">
        <v>19.456670499875138</v>
      </c>
      <c r="I370" s="5">
        <v>1.1841476220343532</v>
      </c>
      <c r="J370" s="5">
        <v>27.750083289041324</v>
      </c>
      <c r="K370" s="5">
        <v>81.526290055613956</v>
      </c>
      <c r="L370" s="5">
        <v>7.3851130303350017</v>
      </c>
      <c r="M370" s="5" t="b">
        <v>0</v>
      </c>
      <c r="N370" s="5" t="b">
        <v>1</v>
      </c>
      <c r="O370" s="5" t="b">
        <v>1</v>
      </c>
      <c r="P370" s="5" t="b">
        <v>0</v>
      </c>
      <c r="Q370" s="5" t="b">
        <v>0</v>
      </c>
      <c r="R370" s="5" t="b">
        <v>1</v>
      </c>
      <c r="S370" s="5" t="b">
        <v>0</v>
      </c>
      <c r="T370" s="5" t="b">
        <v>0</v>
      </c>
      <c r="U370" s="5" t="b">
        <v>0</v>
      </c>
      <c r="V370" s="5" t="b">
        <v>0</v>
      </c>
      <c r="W370" s="5" t="b">
        <v>0</v>
      </c>
      <c r="X370" s="5">
        <v>2</v>
      </c>
      <c r="Y370" s="5">
        <v>2</v>
      </c>
      <c r="Z370" s="5" t="b">
        <v>1</v>
      </c>
      <c r="AA370" s="5">
        <v>6.6344856999999999</v>
      </c>
      <c r="AB370" s="5">
        <v>549.68037052793989</v>
      </c>
    </row>
    <row r="371" spans="2:28" x14ac:dyDescent="0.35">
      <c r="B371" s="5">
        <v>377</v>
      </c>
      <c r="C371" s="5">
        <v>465.36204450474634</v>
      </c>
      <c r="D371" s="5">
        <v>13.054249593408938</v>
      </c>
      <c r="E371" s="5">
        <v>19.998832025201082</v>
      </c>
      <c r="F371" s="5">
        <v>140.64513079428389</v>
      </c>
      <c r="G371" s="5">
        <v>115.21350002366782</v>
      </c>
      <c r="H371" s="5">
        <v>19.553975227214437</v>
      </c>
      <c r="I371" s="5">
        <v>1.1405379346452493</v>
      </c>
      <c r="J371" s="5">
        <v>34.034002965542456</v>
      </c>
      <c r="K371" s="5">
        <v>84.357317035895363</v>
      </c>
      <c r="L371" s="5">
        <v>6.5897542650809013</v>
      </c>
      <c r="M371" s="5" t="b">
        <v>0</v>
      </c>
      <c r="N371" s="5" t="b">
        <v>0</v>
      </c>
      <c r="O371" s="5" t="b">
        <v>1</v>
      </c>
      <c r="P371" s="5" t="b">
        <v>0</v>
      </c>
      <c r="Q371" s="5" t="b">
        <v>0</v>
      </c>
      <c r="R371" s="5" t="b">
        <v>0</v>
      </c>
      <c r="S371" s="5" t="b">
        <v>0</v>
      </c>
      <c r="T371" s="5" t="b">
        <v>0</v>
      </c>
      <c r="U371" s="5" t="b">
        <v>0</v>
      </c>
      <c r="V371" s="5" t="b">
        <v>0</v>
      </c>
      <c r="W371" s="5" t="b">
        <v>0</v>
      </c>
      <c r="X371" s="5">
        <v>1</v>
      </c>
      <c r="Y371" s="5">
        <v>0</v>
      </c>
      <c r="Z371" s="5" t="b">
        <v>1</v>
      </c>
      <c r="AA371" s="5">
        <v>3.6546698000000006</v>
      </c>
      <c r="AB371" s="5">
        <v>553.07411970474641</v>
      </c>
    </row>
    <row r="372" spans="2:28" x14ac:dyDescent="0.35">
      <c r="B372" s="5">
        <v>406</v>
      </c>
      <c r="C372" s="5">
        <v>505.3162062592254</v>
      </c>
      <c r="D372" s="5">
        <v>11.38642658156474</v>
      </c>
      <c r="E372" s="5">
        <v>11.857995220532883</v>
      </c>
      <c r="F372" s="5">
        <v>135.7011146462537</v>
      </c>
      <c r="G372" s="5">
        <v>132.0325016483217</v>
      </c>
      <c r="H372" s="5">
        <v>11.80973451826981</v>
      </c>
      <c r="I372" s="5">
        <v>1.022523194425208</v>
      </c>
      <c r="J372" s="5">
        <v>26.992202151043422</v>
      </c>
      <c r="K372" s="5">
        <v>66.537556557237508</v>
      </c>
      <c r="L372" s="5">
        <v>6.7197411886262017</v>
      </c>
      <c r="M372" s="5" t="b">
        <v>0</v>
      </c>
      <c r="N372" s="5" t="b">
        <v>0</v>
      </c>
      <c r="O372" s="5" t="b">
        <v>0</v>
      </c>
      <c r="P372" s="5" t="b">
        <v>0</v>
      </c>
      <c r="Q372" s="5" t="b">
        <v>0</v>
      </c>
      <c r="R372" s="5" t="b">
        <v>0</v>
      </c>
      <c r="S372" s="5" t="b">
        <v>0</v>
      </c>
      <c r="T372" s="5" t="b">
        <v>0</v>
      </c>
      <c r="U372" s="5" t="b">
        <v>0</v>
      </c>
      <c r="V372" s="5" t="b">
        <v>0</v>
      </c>
      <c r="W372" s="5" t="b">
        <v>0</v>
      </c>
      <c r="X372" s="5">
        <v>1</v>
      </c>
      <c r="Y372" s="5">
        <v>1</v>
      </c>
      <c r="Z372" s="5" t="b">
        <v>1</v>
      </c>
      <c r="AA372" s="5">
        <v>2.0055906999999999</v>
      </c>
      <c r="AB372" s="5">
        <v>553.45038305922537</v>
      </c>
    </row>
    <row r="373" spans="2:28" x14ac:dyDescent="0.35">
      <c r="B373" s="5">
        <v>410</v>
      </c>
      <c r="C373" s="5">
        <v>511.04466840888824</v>
      </c>
      <c r="D373" s="5">
        <v>13.38948960751758</v>
      </c>
      <c r="E373" s="5">
        <v>18.533604284714428</v>
      </c>
      <c r="F373" s="5">
        <v>131.92695581889754</v>
      </c>
      <c r="G373" s="5">
        <v>108.24387650682118</v>
      </c>
      <c r="H373" s="5">
        <v>6.7655853833434012</v>
      </c>
      <c r="I373" s="5">
        <v>0.99401769519205685</v>
      </c>
      <c r="J373" s="5">
        <v>29.622920148947944</v>
      </c>
      <c r="K373" s="5">
        <v>75.573961552269481</v>
      </c>
      <c r="L373" s="5">
        <v>6.0334656509176972</v>
      </c>
      <c r="M373" s="5" t="b">
        <v>0</v>
      </c>
      <c r="N373" s="5" t="b">
        <v>0</v>
      </c>
      <c r="O373" s="5" t="b">
        <v>0</v>
      </c>
      <c r="P373" s="5" t="b">
        <v>0</v>
      </c>
      <c r="Q373" s="5" t="b">
        <v>0</v>
      </c>
      <c r="R373" s="5" t="b">
        <v>0</v>
      </c>
      <c r="S373" s="5" t="b">
        <v>0</v>
      </c>
      <c r="T373" s="5" t="b">
        <v>0</v>
      </c>
      <c r="U373" s="5" t="b">
        <v>0</v>
      </c>
      <c r="V373" s="5" t="b">
        <v>0</v>
      </c>
      <c r="W373" s="5" t="b">
        <v>0</v>
      </c>
      <c r="X373" s="5">
        <v>1</v>
      </c>
      <c r="Y373" s="5">
        <v>0</v>
      </c>
      <c r="Z373" s="5" t="b">
        <v>0</v>
      </c>
      <c r="AA373" s="5">
        <v>1.7758688999999999</v>
      </c>
      <c r="AB373" s="5">
        <v>553.66552200888827</v>
      </c>
    </row>
    <row r="374" spans="2:28" x14ac:dyDescent="0.35">
      <c r="B374" s="5">
        <v>375</v>
      </c>
      <c r="C374" s="5">
        <v>464.39315771809447</v>
      </c>
      <c r="D374" s="5">
        <v>13.29381069297391</v>
      </c>
      <c r="E374" s="5">
        <v>7.9085457182166312</v>
      </c>
      <c r="F374" s="5">
        <v>137.30749372863062</v>
      </c>
      <c r="G374" s="5">
        <v>83.42092906212207</v>
      </c>
      <c r="H374" s="5">
        <v>7.3325331503113089</v>
      </c>
      <c r="I374" s="5">
        <v>0.88043947435912251</v>
      </c>
      <c r="J374" s="5">
        <v>31.6374360051887</v>
      </c>
      <c r="K374" s="5">
        <v>78.726425541451377</v>
      </c>
      <c r="L374" s="5">
        <v>6.4424748380812966</v>
      </c>
      <c r="M374" s="5" t="b">
        <v>0</v>
      </c>
      <c r="N374" s="5" t="b">
        <v>0</v>
      </c>
      <c r="O374" s="5" t="b">
        <v>0</v>
      </c>
      <c r="P374" s="5" t="b">
        <v>0</v>
      </c>
      <c r="Q374" s="5" t="b">
        <v>0</v>
      </c>
      <c r="R374" s="5" t="b">
        <v>0</v>
      </c>
      <c r="S374" s="5" t="b">
        <v>0</v>
      </c>
      <c r="T374" s="5" t="b">
        <v>0</v>
      </c>
      <c r="U374" s="5" t="b">
        <v>0</v>
      </c>
      <c r="V374" s="5" t="b">
        <v>0</v>
      </c>
      <c r="W374" s="5" t="b">
        <v>0</v>
      </c>
      <c r="X374" s="5">
        <v>1</v>
      </c>
      <c r="Y374" s="5">
        <v>2</v>
      </c>
      <c r="Z374" s="5" t="b">
        <v>1</v>
      </c>
      <c r="AA374" s="5">
        <v>3.8307693</v>
      </c>
      <c r="AB374" s="5">
        <v>556.33162091809447</v>
      </c>
    </row>
    <row r="375" spans="2:28" x14ac:dyDescent="0.35">
      <c r="B375" s="5">
        <v>359</v>
      </c>
      <c r="C375" s="5">
        <v>439.28594838888557</v>
      </c>
      <c r="D375" s="5">
        <v>11.705029869439914</v>
      </c>
      <c r="E375" s="5">
        <v>11.664096347595784</v>
      </c>
      <c r="F375" s="5">
        <v>135.03561809174829</v>
      </c>
      <c r="G375" s="5">
        <v>148.93619696193454</v>
      </c>
      <c r="H375" s="5">
        <v>26.186377479584213</v>
      </c>
      <c r="I375" s="5">
        <v>1.1905466026206664</v>
      </c>
      <c r="J375" s="5">
        <v>30.194502334013571</v>
      </c>
      <c r="K375" s="5">
        <v>69.181948038273489</v>
      </c>
      <c r="L375" s="5">
        <v>7.5376896517561596</v>
      </c>
      <c r="M375" s="5" t="b">
        <v>1</v>
      </c>
      <c r="N375" s="5" t="b">
        <v>0</v>
      </c>
      <c r="O375" s="5" t="b">
        <v>0</v>
      </c>
      <c r="P375" s="5" t="b">
        <v>0</v>
      </c>
      <c r="Q375" s="5" t="b">
        <v>0</v>
      </c>
      <c r="R375" s="5" t="b">
        <v>1</v>
      </c>
      <c r="S375" s="5" t="b">
        <v>0</v>
      </c>
      <c r="T375" s="5" t="b">
        <v>0</v>
      </c>
      <c r="U375" s="5" t="b">
        <v>0</v>
      </c>
      <c r="V375" s="5" t="b">
        <v>0</v>
      </c>
      <c r="W375" s="5" t="b">
        <v>0</v>
      </c>
      <c r="X375" s="5">
        <v>0</v>
      </c>
      <c r="Y375" s="5">
        <v>2</v>
      </c>
      <c r="Z375" s="5" t="b">
        <v>1</v>
      </c>
      <c r="AA375" s="5">
        <v>4.8957663</v>
      </c>
      <c r="AB375" s="5">
        <v>556.78433958888559</v>
      </c>
    </row>
    <row r="376" spans="2:28" x14ac:dyDescent="0.35">
      <c r="B376" s="5">
        <v>381</v>
      </c>
      <c r="C376" s="5">
        <v>469.72541118256152</v>
      </c>
      <c r="D376" s="5">
        <v>12.52427255159053</v>
      </c>
      <c r="E376" s="5">
        <v>13.494484427953044</v>
      </c>
      <c r="F376" s="5">
        <v>142.69090487925604</v>
      </c>
      <c r="G376" s="5">
        <v>109.52745282689659</v>
      </c>
      <c r="H376" s="5">
        <v>20.296238160970773</v>
      </c>
      <c r="I376" s="5">
        <v>1.1749328793457396</v>
      </c>
      <c r="J376" s="5">
        <v>32.197101965747535</v>
      </c>
      <c r="K376" s="5">
        <v>77.86399327894577</v>
      </c>
      <c r="L376" s="5">
        <v>6.8506875643919924</v>
      </c>
      <c r="M376" s="5" t="b">
        <v>0</v>
      </c>
      <c r="N376" s="5" t="b">
        <v>0</v>
      </c>
      <c r="O376" s="5" t="b">
        <v>0</v>
      </c>
      <c r="P376" s="5" t="b">
        <v>0</v>
      </c>
      <c r="Q376" s="5" t="b">
        <v>0</v>
      </c>
      <c r="R376" s="5" t="b">
        <v>1</v>
      </c>
      <c r="S376" s="5" t="b">
        <v>1</v>
      </c>
      <c r="T376" s="5" t="b">
        <v>0</v>
      </c>
      <c r="U376" s="5" t="b">
        <v>0</v>
      </c>
      <c r="V376" s="5" t="b">
        <v>0</v>
      </c>
      <c r="W376" s="5" t="b">
        <v>0</v>
      </c>
      <c r="X376" s="5">
        <v>2</v>
      </c>
      <c r="Y376" s="5">
        <v>0</v>
      </c>
      <c r="Z376" s="5" t="b">
        <v>1</v>
      </c>
      <c r="AA376" s="5">
        <v>3.7394959999999999</v>
      </c>
      <c r="AB376" s="5">
        <v>559.47331518256146</v>
      </c>
    </row>
    <row r="377" spans="2:28" x14ac:dyDescent="0.35">
      <c r="B377" s="5">
        <v>361</v>
      </c>
      <c r="C377" s="5">
        <v>445.32799188967385</v>
      </c>
      <c r="D377" s="5">
        <v>10.653662273560119</v>
      </c>
      <c r="E377" s="5">
        <v>13.479771473713942</v>
      </c>
      <c r="F377" s="5">
        <v>131.7829587369302</v>
      </c>
      <c r="G377" s="5">
        <v>115.67001930416957</v>
      </c>
      <c r="H377" s="5">
        <v>15.480793109965751</v>
      </c>
      <c r="I377" s="5">
        <v>0.9902197868881083</v>
      </c>
      <c r="J377" s="5">
        <v>29.941805742681769</v>
      </c>
      <c r="K377" s="5">
        <v>89.175171178280294</v>
      </c>
      <c r="L377" s="5">
        <v>5.9148266202237929</v>
      </c>
      <c r="M377" s="5" t="b">
        <v>0</v>
      </c>
      <c r="N377" s="5" t="b">
        <v>0</v>
      </c>
      <c r="O377" s="5" t="b">
        <v>1</v>
      </c>
      <c r="P377" s="5" t="b">
        <v>0</v>
      </c>
      <c r="Q377" s="5" t="b">
        <v>0</v>
      </c>
      <c r="R377" s="5" t="b">
        <v>0</v>
      </c>
      <c r="S377" s="5" t="b">
        <v>0</v>
      </c>
      <c r="T377" s="5" t="b">
        <v>0</v>
      </c>
      <c r="U377" s="5" t="b">
        <v>0</v>
      </c>
      <c r="V377" s="5" t="b">
        <v>0</v>
      </c>
      <c r="W377" s="5" t="b">
        <v>0</v>
      </c>
      <c r="X377" s="5">
        <v>1</v>
      </c>
      <c r="Y377" s="5">
        <v>1</v>
      </c>
      <c r="Z377" s="5" t="b">
        <v>1</v>
      </c>
      <c r="AA377" s="5">
        <v>4.8060840000000002</v>
      </c>
      <c r="AB377" s="5">
        <v>560.67400788967382</v>
      </c>
    </row>
    <row r="378" spans="2:28" x14ac:dyDescent="0.35">
      <c r="B378" s="5">
        <v>376</v>
      </c>
      <c r="C378" s="5">
        <v>464.83078120951984</v>
      </c>
      <c r="D378" s="5">
        <v>15.415024733938171</v>
      </c>
      <c r="E378" s="5">
        <v>13.152166432839085</v>
      </c>
      <c r="F378" s="5">
        <v>134.4855415267744</v>
      </c>
      <c r="G378" s="5">
        <v>157.34824796469769</v>
      </c>
      <c r="H378" s="5">
        <v>25.953336117459237</v>
      </c>
      <c r="I378" s="5">
        <v>1.0846683572655209</v>
      </c>
      <c r="J378" s="5">
        <v>30.69800888142106</v>
      </c>
      <c r="K378" s="5">
        <v>54.309983383299084</v>
      </c>
      <c r="L378" s="5">
        <v>6.8521063268994151</v>
      </c>
      <c r="M378" s="5" t="b">
        <v>0</v>
      </c>
      <c r="N378" s="5" t="b">
        <v>0</v>
      </c>
      <c r="O378" s="5" t="b">
        <v>0</v>
      </c>
      <c r="P378" s="5" t="b">
        <v>0</v>
      </c>
      <c r="Q378" s="5" t="b">
        <v>0</v>
      </c>
      <c r="R378" s="5" t="b">
        <v>1</v>
      </c>
      <c r="S378" s="5" t="b">
        <v>0</v>
      </c>
      <c r="T378" s="5" t="b">
        <v>0</v>
      </c>
      <c r="U378" s="5" t="b">
        <v>0</v>
      </c>
      <c r="V378" s="5" t="b">
        <v>0</v>
      </c>
      <c r="W378" s="5" t="b">
        <v>0</v>
      </c>
      <c r="X378" s="5">
        <v>1</v>
      </c>
      <c r="Y378" s="5">
        <v>0</v>
      </c>
      <c r="Z378" s="5" t="b">
        <v>0</v>
      </c>
      <c r="AA378" s="5">
        <v>4.0276474999999996</v>
      </c>
      <c r="AB378" s="5">
        <v>561.49432120951985</v>
      </c>
    </row>
    <row r="379" spans="2:28" x14ac:dyDescent="0.35">
      <c r="B379" s="5">
        <v>364</v>
      </c>
      <c r="C379" s="5">
        <v>447.99101757643535</v>
      </c>
      <c r="D379" s="5">
        <v>13.063811902122808</v>
      </c>
      <c r="E379" s="5">
        <v>7.1916317729556534</v>
      </c>
      <c r="F379" s="5">
        <v>143.94784360036047</v>
      </c>
      <c r="G379" s="5">
        <v>184.38123088161001</v>
      </c>
      <c r="H379" s="5">
        <v>7.5428683975748143</v>
      </c>
      <c r="I379" s="5">
        <v>1.2292546301666643</v>
      </c>
      <c r="J379" s="5">
        <v>29.069308835263772</v>
      </c>
      <c r="K379" s="5">
        <v>83.30586654298763</v>
      </c>
      <c r="L379" s="5">
        <v>6.6013043590889691</v>
      </c>
      <c r="M379" s="5" t="b">
        <v>0</v>
      </c>
      <c r="N379" s="5" t="b">
        <v>0</v>
      </c>
      <c r="O379" s="5" t="b">
        <v>0</v>
      </c>
      <c r="P379" s="5" t="b">
        <v>0</v>
      </c>
      <c r="Q379" s="5" t="b">
        <v>0</v>
      </c>
      <c r="R379" s="5" t="b">
        <v>0</v>
      </c>
      <c r="S379" s="5" t="b">
        <v>1</v>
      </c>
      <c r="T379" s="5" t="b">
        <v>1</v>
      </c>
      <c r="U379" s="5" t="b">
        <v>0</v>
      </c>
      <c r="V379" s="5" t="b">
        <v>0</v>
      </c>
      <c r="W379" s="5" t="b">
        <v>0</v>
      </c>
      <c r="X379" s="5">
        <v>1</v>
      </c>
      <c r="Y379" s="5">
        <v>1</v>
      </c>
      <c r="Z379" s="5" t="b">
        <v>1</v>
      </c>
      <c r="AA379" s="5">
        <v>4.7515460000000003</v>
      </c>
      <c r="AB379" s="5">
        <v>562.02812157643541</v>
      </c>
    </row>
    <row r="380" spans="2:28" x14ac:dyDescent="0.35">
      <c r="B380" s="5">
        <v>429</v>
      </c>
      <c r="C380" s="5">
        <v>541.24033099475878</v>
      </c>
      <c r="D380" s="5">
        <v>12.225513331406502</v>
      </c>
      <c r="E380" s="5">
        <v>12.316303701063873</v>
      </c>
      <c r="F380" s="5">
        <v>138.68474296777742</v>
      </c>
      <c r="G380" s="5">
        <v>158.41940831442869</v>
      </c>
      <c r="H380" s="5">
        <v>22.663085121339051</v>
      </c>
      <c r="I380" s="5">
        <v>0.92958143618770472</v>
      </c>
      <c r="J380" s="5">
        <v>27.672575552580106</v>
      </c>
      <c r="K380" s="5">
        <v>54.738851491116748</v>
      </c>
      <c r="L380" s="5">
        <v>6.666442096861938</v>
      </c>
      <c r="M380" s="5" t="b">
        <v>0</v>
      </c>
      <c r="N380" s="5" t="b">
        <v>0</v>
      </c>
      <c r="O380" s="5" t="b">
        <v>0</v>
      </c>
      <c r="P380" s="5" t="b">
        <v>0</v>
      </c>
      <c r="Q380" s="5" t="b">
        <v>0</v>
      </c>
      <c r="R380" s="5" t="b">
        <v>0</v>
      </c>
      <c r="S380" s="5" t="b">
        <v>0</v>
      </c>
      <c r="T380" s="5" t="b">
        <v>0</v>
      </c>
      <c r="U380" s="5" t="b">
        <v>0</v>
      </c>
      <c r="V380" s="5" t="b">
        <v>0</v>
      </c>
      <c r="W380" s="5" t="b">
        <v>0</v>
      </c>
      <c r="X380" s="5">
        <v>0</v>
      </c>
      <c r="Y380" s="5">
        <v>0</v>
      </c>
      <c r="Z380" s="5" t="b">
        <v>1</v>
      </c>
      <c r="AA380" s="5">
        <v>1.0207834</v>
      </c>
      <c r="AB380" s="5">
        <v>565.73913259475876</v>
      </c>
    </row>
    <row r="381" spans="2:28" x14ac:dyDescent="0.35">
      <c r="B381" s="5">
        <v>368</v>
      </c>
      <c r="C381" s="5">
        <v>455.44372721404818</v>
      </c>
      <c r="D381" s="5">
        <v>11.990536197826248</v>
      </c>
      <c r="E381" s="5">
        <v>0.53713780618775786</v>
      </c>
      <c r="F381" s="5">
        <v>136.48874688633634</v>
      </c>
      <c r="G381" s="5">
        <v>185.10406028911186</v>
      </c>
      <c r="H381" s="5">
        <v>12.433722697973778</v>
      </c>
      <c r="I381" s="5">
        <v>1.157189952866057</v>
      </c>
      <c r="J381" s="5">
        <v>30.372396384738703</v>
      </c>
      <c r="K381" s="5">
        <v>61.895690875487816</v>
      </c>
      <c r="L381" s="5">
        <v>6.873945265210585</v>
      </c>
      <c r="M381" s="5" t="b">
        <v>0</v>
      </c>
      <c r="N381" s="5" t="b">
        <v>0</v>
      </c>
      <c r="O381" s="5" t="b">
        <v>1</v>
      </c>
      <c r="P381" s="5" t="b">
        <v>0</v>
      </c>
      <c r="Q381" s="5" t="b">
        <v>0</v>
      </c>
      <c r="R381" s="5" t="b">
        <v>0</v>
      </c>
      <c r="S381" s="5" t="b">
        <v>1</v>
      </c>
      <c r="T381" s="5" t="b">
        <v>0</v>
      </c>
      <c r="U381" s="5" t="b">
        <v>0</v>
      </c>
      <c r="V381" s="5" t="b">
        <v>0</v>
      </c>
      <c r="W381" s="5" t="b">
        <v>0</v>
      </c>
      <c r="X381" s="5">
        <v>1</v>
      </c>
      <c r="Y381" s="5">
        <v>1</v>
      </c>
      <c r="Z381" s="5" t="b">
        <v>1</v>
      </c>
      <c r="AA381" s="5">
        <v>4.6263657</v>
      </c>
      <c r="AB381" s="5">
        <v>566.47650401404815</v>
      </c>
    </row>
    <row r="382" spans="2:28" x14ac:dyDescent="0.35">
      <c r="B382" s="5">
        <v>357</v>
      </c>
      <c r="C382" s="5">
        <v>437.84891705109419</v>
      </c>
      <c r="D382" s="5">
        <v>11.603828868522276</v>
      </c>
      <c r="E382" s="5">
        <v>0.91529902045616751</v>
      </c>
      <c r="F382" s="5">
        <v>132.28765782182927</v>
      </c>
      <c r="G382" s="5">
        <v>168.08797881462152</v>
      </c>
      <c r="H382" s="5">
        <v>0.36055561504172928</v>
      </c>
      <c r="I382" s="5">
        <v>0.81953075297273592</v>
      </c>
      <c r="J382" s="5">
        <v>30.094977581983333</v>
      </c>
      <c r="K382" s="5">
        <v>62.888891354492941</v>
      </c>
      <c r="L382" s="5">
        <v>6.1843808917615517</v>
      </c>
      <c r="M382" s="5" t="b">
        <v>0</v>
      </c>
      <c r="N382" s="5" t="b">
        <v>0</v>
      </c>
      <c r="O382" s="5" t="b">
        <v>0</v>
      </c>
      <c r="P382" s="5" t="b">
        <v>0</v>
      </c>
      <c r="Q382" s="5" t="b">
        <v>0</v>
      </c>
      <c r="R382" s="5" t="b">
        <v>0</v>
      </c>
      <c r="S382" s="5" t="b">
        <v>0</v>
      </c>
      <c r="T382" s="5" t="b">
        <v>0</v>
      </c>
      <c r="U382" s="5" t="b">
        <v>0</v>
      </c>
      <c r="V382" s="5" t="b">
        <v>1</v>
      </c>
      <c r="W382" s="5" t="b">
        <v>0</v>
      </c>
      <c r="X382" s="5">
        <v>0</v>
      </c>
      <c r="Y382" s="5">
        <v>1</v>
      </c>
      <c r="Z382" s="5" t="b">
        <v>0</v>
      </c>
      <c r="AA382" s="5">
        <v>5.3663372999999996</v>
      </c>
      <c r="AB382" s="5">
        <v>566.64101225109414</v>
      </c>
    </row>
    <row r="383" spans="2:28" x14ac:dyDescent="0.35">
      <c r="B383" s="5">
        <v>423</v>
      </c>
      <c r="C383" s="5">
        <v>527.49295740073069</v>
      </c>
      <c r="D383" s="5">
        <v>13.108855526602788</v>
      </c>
      <c r="E383" s="5">
        <v>1.7571650481994112</v>
      </c>
      <c r="F383" s="5">
        <v>137.62387848760187</v>
      </c>
      <c r="G383" s="5">
        <v>149.67272242209089</v>
      </c>
      <c r="H383" s="5">
        <v>11.563577896111427</v>
      </c>
      <c r="I383" s="5">
        <v>1.0218494791061397</v>
      </c>
      <c r="J383" s="5">
        <v>29.900998615251567</v>
      </c>
      <c r="K383" s="5">
        <v>62.066078891135419</v>
      </c>
      <c r="L383" s="5">
        <v>6.4467188752934259</v>
      </c>
      <c r="M383" s="5" t="b">
        <v>0</v>
      </c>
      <c r="N383" s="5" t="b">
        <v>0</v>
      </c>
      <c r="O383" s="5" t="b">
        <v>0</v>
      </c>
      <c r="P383" s="5" t="b">
        <v>0</v>
      </c>
      <c r="Q383" s="5" t="b">
        <v>0</v>
      </c>
      <c r="R383" s="5" t="b">
        <v>0</v>
      </c>
      <c r="S383" s="5" t="b">
        <v>0</v>
      </c>
      <c r="T383" s="5" t="b">
        <v>0</v>
      </c>
      <c r="U383" s="5" t="b">
        <v>0</v>
      </c>
      <c r="V383" s="5" t="b">
        <v>0</v>
      </c>
      <c r="W383" s="5" t="b">
        <v>0</v>
      </c>
      <c r="X383" s="5">
        <v>2</v>
      </c>
      <c r="Y383" s="5">
        <v>1</v>
      </c>
      <c r="Z383" s="5" t="b">
        <v>1</v>
      </c>
      <c r="AA383" s="5">
        <v>1.647383</v>
      </c>
      <c r="AB383" s="5">
        <v>567.03014940073069</v>
      </c>
    </row>
    <row r="384" spans="2:28" x14ac:dyDescent="0.35">
      <c r="B384" s="5">
        <v>402</v>
      </c>
      <c r="C384" s="5">
        <v>500.89561440115745</v>
      </c>
      <c r="D384" s="5">
        <v>11.015985857523418</v>
      </c>
      <c r="E384" s="5">
        <v>2.2955653425299563</v>
      </c>
      <c r="F384" s="5">
        <v>138.58056880588569</v>
      </c>
      <c r="G384" s="5">
        <v>94.152292314800519</v>
      </c>
      <c r="H384" s="5">
        <v>7.8803406029087135</v>
      </c>
      <c r="I384" s="5">
        <v>1.1399055621267584</v>
      </c>
      <c r="J384" s="5">
        <v>27.958513828331668</v>
      </c>
      <c r="K384" s="5">
        <v>62.485737073241452</v>
      </c>
      <c r="L384" s="5">
        <v>6.720515500656</v>
      </c>
      <c r="M384" s="5" t="b">
        <v>0</v>
      </c>
      <c r="N384" s="5" t="b">
        <v>0</v>
      </c>
      <c r="O384" s="5" t="b">
        <v>0</v>
      </c>
      <c r="P384" s="5" t="b">
        <v>0</v>
      </c>
      <c r="Q384" s="5" t="b">
        <v>0</v>
      </c>
      <c r="R384" s="5" t="b">
        <v>1</v>
      </c>
      <c r="S384" s="5" t="b">
        <v>0</v>
      </c>
      <c r="T384" s="5" t="b">
        <v>0</v>
      </c>
      <c r="U384" s="5" t="b">
        <v>0</v>
      </c>
      <c r="V384" s="5" t="b">
        <v>0</v>
      </c>
      <c r="W384" s="5" t="b">
        <v>0</v>
      </c>
      <c r="X384" s="5">
        <v>1</v>
      </c>
      <c r="Y384" s="5">
        <v>0</v>
      </c>
      <c r="Z384" s="5" t="b">
        <v>0</v>
      </c>
      <c r="AA384" s="5">
        <v>2.8114119</v>
      </c>
      <c r="AB384" s="5">
        <v>568.36950000115746</v>
      </c>
    </row>
    <row r="385" spans="2:28" x14ac:dyDescent="0.35">
      <c r="B385" s="5">
        <v>390</v>
      </c>
      <c r="C385" s="5">
        <v>481.24425948391689</v>
      </c>
      <c r="D385" s="5">
        <v>13.096738126717803</v>
      </c>
      <c r="E385" s="5">
        <v>8.4590696415476536</v>
      </c>
      <c r="F385" s="5">
        <v>140.54816445253499</v>
      </c>
      <c r="G385" s="5">
        <v>86.700560305809972</v>
      </c>
      <c r="H385" s="5">
        <v>20.258876399747443</v>
      </c>
      <c r="I385" s="5">
        <v>1.1372458610849838</v>
      </c>
      <c r="J385" s="5">
        <v>29.294399618989885</v>
      </c>
      <c r="K385" s="5">
        <v>75.160991131895614</v>
      </c>
      <c r="L385" s="5">
        <v>6.9747545748646775</v>
      </c>
      <c r="M385" s="5" t="b">
        <v>0</v>
      </c>
      <c r="N385" s="5" t="b">
        <v>0</v>
      </c>
      <c r="O385" s="5" t="b">
        <v>1</v>
      </c>
      <c r="P385" s="5" t="b">
        <v>0</v>
      </c>
      <c r="Q385" s="5" t="b">
        <v>0</v>
      </c>
      <c r="R385" s="5" t="b">
        <v>0</v>
      </c>
      <c r="S385" s="5" t="b">
        <v>0</v>
      </c>
      <c r="T385" s="5" t="b">
        <v>0</v>
      </c>
      <c r="U385" s="5" t="b">
        <v>0</v>
      </c>
      <c r="V385" s="5" t="b">
        <v>0</v>
      </c>
      <c r="W385" s="5" t="b">
        <v>0</v>
      </c>
      <c r="X385" s="5">
        <v>1</v>
      </c>
      <c r="Y385" s="5">
        <v>1</v>
      </c>
      <c r="Z385" s="5" t="b">
        <v>1</v>
      </c>
      <c r="AA385" s="5">
        <v>3.7820423000000005</v>
      </c>
      <c r="AB385" s="5">
        <v>572.01327468391685</v>
      </c>
    </row>
    <row r="386" spans="2:28" x14ac:dyDescent="0.35">
      <c r="B386" s="5">
        <v>389</v>
      </c>
      <c r="C386" s="5">
        <v>480.12407448181051</v>
      </c>
      <c r="D386" s="5">
        <v>11.342871751219706</v>
      </c>
      <c r="E386" s="5">
        <v>16.063798707734875</v>
      </c>
      <c r="F386" s="5">
        <v>136.45912357294898</v>
      </c>
      <c r="G386" s="5">
        <v>165.86271746687461</v>
      </c>
      <c r="H386" s="5">
        <v>27.39762240698888</v>
      </c>
      <c r="I386" s="5">
        <v>1.0335259556605396</v>
      </c>
      <c r="J386" s="5">
        <v>31.318542411625714</v>
      </c>
      <c r="K386" s="5">
        <v>70.159747871295551</v>
      </c>
      <c r="L386" s="5">
        <v>6.4124865297726537</v>
      </c>
      <c r="M386" s="5" t="b">
        <v>0</v>
      </c>
      <c r="N386" s="5" t="b">
        <v>0</v>
      </c>
      <c r="O386" s="5" t="b">
        <v>1</v>
      </c>
      <c r="P386" s="5" t="b">
        <v>0</v>
      </c>
      <c r="Q386" s="5" t="b">
        <v>0</v>
      </c>
      <c r="R386" s="5" t="b">
        <v>1</v>
      </c>
      <c r="S386" s="5" t="b">
        <v>0</v>
      </c>
      <c r="T386" s="5" t="b">
        <v>0</v>
      </c>
      <c r="U386" s="5" t="b">
        <v>0</v>
      </c>
      <c r="V386" s="5" t="b">
        <v>0</v>
      </c>
      <c r="W386" s="5" t="b">
        <v>0</v>
      </c>
      <c r="X386" s="5">
        <v>2</v>
      </c>
      <c r="Y386" s="5">
        <v>1</v>
      </c>
      <c r="Z386" s="5" t="b">
        <v>1</v>
      </c>
      <c r="AA386" s="5">
        <v>3.857748</v>
      </c>
      <c r="AB386" s="5">
        <v>572.71002648181047</v>
      </c>
    </row>
    <row r="387" spans="2:28" x14ac:dyDescent="0.35">
      <c r="B387" s="5">
        <v>320</v>
      </c>
      <c r="C387" s="5">
        <v>394.63912959461402</v>
      </c>
      <c r="D387" s="5">
        <v>13.364616274894345</v>
      </c>
      <c r="E387" s="5">
        <v>0.53526916231045085</v>
      </c>
      <c r="F387" s="5">
        <v>138.71530839277273</v>
      </c>
      <c r="G387" s="5">
        <v>194.47216379797985</v>
      </c>
      <c r="H387" s="5">
        <v>23.086075242968587</v>
      </c>
      <c r="I387" s="5">
        <v>1.1604349350446239</v>
      </c>
      <c r="J387" s="5">
        <v>30.972768098396127</v>
      </c>
      <c r="K387" s="5">
        <v>82.934406030860259</v>
      </c>
      <c r="L387" s="5">
        <v>7.4349964969640903</v>
      </c>
      <c r="M387" s="5" t="b">
        <v>0</v>
      </c>
      <c r="N387" s="5" t="b">
        <v>1</v>
      </c>
      <c r="O387" s="5" t="b">
        <v>0</v>
      </c>
      <c r="P387" s="5" t="b">
        <v>0</v>
      </c>
      <c r="Q387" s="5" t="b">
        <v>0</v>
      </c>
      <c r="R387" s="5" t="b">
        <v>0</v>
      </c>
      <c r="S387" s="5" t="b">
        <v>0</v>
      </c>
      <c r="T387" s="5" t="b">
        <v>0</v>
      </c>
      <c r="U387" s="5" t="b">
        <v>0</v>
      </c>
      <c r="V387" s="5" t="b">
        <v>0</v>
      </c>
      <c r="W387" s="5" t="b">
        <v>0</v>
      </c>
      <c r="X387" s="5">
        <v>0</v>
      </c>
      <c r="Y387" s="5">
        <v>3</v>
      </c>
      <c r="Z387" s="5" t="b">
        <v>1</v>
      </c>
      <c r="AA387" s="5">
        <v>7.4301820000000003</v>
      </c>
      <c r="AB387" s="5">
        <v>572.96349759461395</v>
      </c>
    </row>
    <row r="388" spans="2:28" x14ac:dyDescent="0.35">
      <c r="B388" s="5">
        <v>367</v>
      </c>
      <c r="C388" s="5">
        <v>453.96536977222672</v>
      </c>
      <c r="D388" s="5">
        <v>14.214773355084226</v>
      </c>
      <c r="E388" s="5">
        <v>15.950423886283275</v>
      </c>
      <c r="F388" s="5">
        <v>137.38669288021674</v>
      </c>
      <c r="G388" s="5">
        <v>131.96568360818259</v>
      </c>
      <c r="H388" s="5">
        <v>14.982804346699218</v>
      </c>
      <c r="I388" s="5">
        <v>1.0934575694113247</v>
      </c>
      <c r="J388" s="5">
        <v>26.896745070067471</v>
      </c>
      <c r="K388" s="5">
        <v>88.546338544001614</v>
      </c>
      <c r="L388" s="5">
        <v>6.7699882920990442</v>
      </c>
      <c r="M388" s="5" t="b">
        <v>0</v>
      </c>
      <c r="N388" s="5" t="b">
        <v>0</v>
      </c>
      <c r="O388" s="5" t="b">
        <v>0</v>
      </c>
      <c r="P388" s="5" t="b">
        <v>0</v>
      </c>
      <c r="Q388" s="5" t="b">
        <v>0</v>
      </c>
      <c r="R388" s="5" t="b">
        <v>1</v>
      </c>
      <c r="S388" s="5" t="b">
        <v>1</v>
      </c>
      <c r="T388" s="5" t="b">
        <v>0</v>
      </c>
      <c r="U388" s="5" t="b">
        <v>0</v>
      </c>
      <c r="V388" s="5" t="b">
        <v>0</v>
      </c>
      <c r="W388" s="5" t="b">
        <v>0</v>
      </c>
      <c r="X388" s="5">
        <v>3</v>
      </c>
      <c r="Y388" s="5">
        <v>0</v>
      </c>
      <c r="Z388" s="5" t="b">
        <v>1</v>
      </c>
      <c r="AA388" s="5">
        <v>4.9698000000000002</v>
      </c>
      <c r="AB388" s="5">
        <v>573.24056977222676</v>
      </c>
    </row>
    <row r="389" spans="2:28" x14ac:dyDescent="0.35">
      <c r="B389" s="5">
        <v>392</v>
      </c>
      <c r="C389" s="5">
        <v>483.40823804222862</v>
      </c>
      <c r="D389" s="5">
        <v>12.272282506162364</v>
      </c>
      <c r="E389" s="5">
        <v>19.489819197231043</v>
      </c>
      <c r="F389" s="5">
        <v>136.01809524056424</v>
      </c>
      <c r="G389" s="5">
        <v>165.66209530186777</v>
      </c>
      <c r="H389" s="5">
        <v>7.764895868858706</v>
      </c>
      <c r="I389" s="5">
        <v>0.80893263026639484</v>
      </c>
      <c r="J389" s="5">
        <v>30.589069628735871</v>
      </c>
      <c r="K389" s="5">
        <v>85.872967433730338</v>
      </c>
      <c r="L389" s="5">
        <v>6.9369805677113456</v>
      </c>
      <c r="M389" s="5" t="b">
        <v>0</v>
      </c>
      <c r="N389" s="5" t="b">
        <v>0</v>
      </c>
      <c r="O389" s="5" t="b">
        <v>0</v>
      </c>
      <c r="P389" s="5" t="b">
        <v>0</v>
      </c>
      <c r="Q389" s="5" t="b">
        <v>0</v>
      </c>
      <c r="R389" s="5" t="b">
        <v>1</v>
      </c>
      <c r="S389" s="5" t="b">
        <v>0</v>
      </c>
      <c r="T389" s="5" t="b">
        <v>0</v>
      </c>
      <c r="U389" s="5" t="b">
        <v>0</v>
      </c>
      <c r="V389" s="5" t="b">
        <v>0</v>
      </c>
      <c r="W389" s="5" t="b">
        <v>0</v>
      </c>
      <c r="X389" s="5">
        <v>1</v>
      </c>
      <c r="Y389" s="5">
        <v>0</v>
      </c>
      <c r="Z389" s="5" t="b">
        <v>0</v>
      </c>
      <c r="AA389" s="5">
        <v>3.83725</v>
      </c>
      <c r="AB389" s="5">
        <v>575.50223804222867</v>
      </c>
    </row>
    <row r="390" spans="2:28" x14ac:dyDescent="0.35">
      <c r="B390" s="5">
        <v>407</v>
      </c>
      <c r="C390" s="5">
        <v>508.01211960080406</v>
      </c>
      <c r="D390" s="5">
        <v>14.003583203427759</v>
      </c>
      <c r="E390" s="5">
        <v>14.345487827431743</v>
      </c>
      <c r="F390" s="5">
        <v>136.47776546190184</v>
      </c>
      <c r="G390" s="5">
        <v>176.02300174900807</v>
      </c>
      <c r="H390" s="5">
        <v>21.608917290238132</v>
      </c>
      <c r="I390" s="5">
        <v>1.2742320913186602</v>
      </c>
      <c r="J390" s="5">
        <v>27.479998825935834</v>
      </c>
      <c r="K390" s="5">
        <v>55.730851572255048</v>
      </c>
      <c r="L390" s="5">
        <v>6.2395213026320562</v>
      </c>
      <c r="M390" s="5" t="b">
        <v>0</v>
      </c>
      <c r="N390" s="5" t="b">
        <v>0</v>
      </c>
      <c r="O390" s="5" t="b">
        <v>0</v>
      </c>
      <c r="P390" s="5" t="b">
        <v>0</v>
      </c>
      <c r="Q390" s="5" t="b">
        <v>0</v>
      </c>
      <c r="R390" s="5" t="b">
        <v>0</v>
      </c>
      <c r="S390" s="5" t="b">
        <v>0</v>
      </c>
      <c r="T390" s="5" t="b">
        <v>0</v>
      </c>
      <c r="U390" s="5" t="b">
        <v>0</v>
      </c>
      <c r="V390" s="5" t="b">
        <v>0</v>
      </c>
      <c r="W390" s="5" t="b">
        <v>0</v>
      </c>
      <c r="X390" s="5">
        <v>1</v>
      </c>
      <c r="Y390" s="5">
        <v>0</v>
      </c>
      <c r="Z390" s="5" t="b">
        <v>0</v>
      </c>
      <c r="AA390" s="5">
        <v>2.9315693</v>
      </c>
      <c r="AB390" s="5">
        <v>578.36978280080405</v>
      </c>
    </row>
    <row r="391" spans="2:28" x14ac:dyDescent="0.35">
      <c r="B391" s="5">
        <v>425</v>
      </c>
      <c r="C391" s="5">
        <v>532.35508770483841</v>
      </c>
      <c r="D391" s="5">
        <v>12.512588166906589</v>
      </c>
      <c r="E391" s="5">
        <v>11.433057643121357</v>
      </c>
      <c r="F391" s="5">
        <v>136.48131498179123</v>
      </c>
      <c r="G391" s="5">
        <v>135.53462061306135</v>
      </c>
      <c r="H391" s="5">
        <v>13.289521812247649</v>
      </c>
      <c r="I391" s="5">
        <v>1.0576695643387743</v>
      </c>
      <c r="J391" s="5">
        <v>26.522786395123248</v>
      </c>
      <c r="K391" s="5">
        <v>72.59323267047759</v>
      </c>
      <c r="L391" s="5">
        <v>7.1382996064085864</v>
      </c>
      <c r="M391" s="5" t="b">
        <v>0</v>
      </c>
      <c r="N391" s="5" t="b">
        <v>0</v>
      </c>
      <c r="O391" s="5" t="b">
        <v>0</v>
      </c>
      <c r="P391" s="5" t="b">
        <v>0</v>
      </c>
      <c r="Q391" s="5" t="b">
        <v>0</v>
      </c>
      <c r="R391" s="5" t="b">
        <v>0</v>
      </c>
      <c r="S391" s="5" t="b">
        <v>0</v>
      </c>
      <c r="T391" s="5" t="b">
        <v>0</v>
      </c>
      <c r="U391" s="5" t="b">
        <v>0</v>
      </c>
      <c r="V391" s="5" t="b">
        <v>0</v>
      </c>
      <c r="W391" s="5" t="b">
        <v>0</v>
      </c>
      <c r="X391" s="5">
        <v>2</v>
      </c>
      <c r="Y391" s="5">
        <v>1</v>
      </c>
      <c r="Z391" s="5" t="b">
        <v>1</v>
      </c>
      <c r="AA391" s="5">
        <v>1.999393</v>
      </c>
      <c r="AB391" s="5">
        <v>580.34051970483847</v>
      </c>
    </row>
    <row r="392" spans="2:28" x14ac:dyDescent="0.35">
      <c r="B392" s="5">
        <v>379</v>
      </c>
      <c r="C392" s="5">
        <v>469.10611412972628</v>
      </c>
      <c r="D392" s="5">
        <v>14.021081813621421</v>
      </c>
      <c r="E392" s="5">
        <v>7.3962344545578826</v>
      </c>
      <c r="F392" s="5">
        <v>131.8826923851021</v>
      </c>
      <c r="G392" s="5">
        <v>168.0716207895305</v>
      </c>
      <c r="H392" s="5">
        <v>31.597716081578611</v>
      </c>
      <c r="I392" s="5">
        <v>1.2260904750623616</v>
      </c>
      <c r="J392" s="5">
        <v>32.30663108634495</v>
      </c>
      <c r="K392" s="5">
        <v>80.580527494705208</v>
      </c>
      <c r="L392" s="5">
        <v>5.7422028854158018</v>
      </c>
      <c r="M392" s="5" t="b">
        <v>0</v>
      </c>
      <c r="N392" s="5" t="b">
        <v>0</v>
      </c>
      <c r="O392" s="5" t="b">
        <v>0</v>
      </c>
      <c r="P392" s="5" t="b">
        <v>0</v>
      </c>
      <c r="Q392" s="5" t="b">
        <v>0</v>
      </c>
      <c r="R392" s="5" t="b">
        <v>0</v>
      </c>
      <c r="S392" s="5" t="b">
        <v>0</v>
      </c>
      <c r="T392" s="5" t="b">
        <v>0</v>
      </c>
      <c r="U392" s="5" t="b">
        <v>0</v>
      </c>
      <c r="V392" s="5" t="b">
        <v>0</v>
      </c>
      <c r="W392" s="5" t="b">
        <v>0</v>
      </c>
      <c r="X392" s="5">
        <v>1</v>
      </c>
      <c r="Y392" s="5">
        <v>0</v>
      </c>
      <c r="Z392" s="5" t="b">
        <v>0</v>
      </c>
      <c r="AA392" s="5">
        <v>4.793005</v>
      </c>
      <c r="AB392" s="5">
        <v>584.13823412972624</v>
      </c>
    </row>
    <row r="393" spans="2:28" x14ac:dyDescent="0.35">
      <c r="B393" s="5">
        <v>399</v>
      </c>
      <c r="C393" s="5">
        <v>494.06043597973485</v>
      </c>
      <c r="D393" s="5">
        <v>11.686094598301061</v>
      </c>
      <c r="E393" s="5">
        <v>9.4296580296709269</v>
      </c>
      <c r="F393" s="5">
        <v>138.36657870481929</v>
      </c>
      <c r="G393" s="5">
        <v>134.69817393724094</v>
      </c>
      <c r="H393" s="5">
        <v>14.987512249280833</v>
      </c>
      <c r="I393" s="5">
        <v>0.95331526987052073</v>
      </c>
      <c r="J393" s="5">
        <v>29.584563158999039</v>
      </c>
      <c r="K393" s="5">
        <v>70.790173707366549</v>
      </c>
      <c r="L393" s="5">
        <v>7.8299267409237308</v>
      </c>
      <c r="M393" s="5" t="b">
        <v>0</v>
      </c>
      <c r="N393" s="5" t="b">
        <v>0</v>
      </c>
      <c r="O393" s="5" t="b">
        <v>0</v>
      </c>
      <c r="P393" s="5" t="b">
        <v>0</v>
      </c>
      <c r="Q393" s="5" t="b">
        <v>0</v>
      </c>
      <c r="R393" s="5" t="b">
        <v>0</v>
      </c>
      <c r="S393" s="5" t="b">
        <v>0</v>
      </c>
      <c r="T393" s="5" t="b">
        <v>0</v>
      </c>
      <c r="U393" s="5" t="b">
        <v>0</v>
      </c>
      <c r="V393" s="5" t="b">
        <v>0</v>
      </c>
      <c r="W393" s="5" t="b">
        <v>0</v>
      </c>
      <c r="X393" s="5">
        <v>0</v>
      </c>
      <c r="Y393" s="5">
        <v>2</v>
      </c>
      <c r="Z393" s="5" t="b">
        <v>1</v>
      </c>
      <c r="AA393" s="5">
        <v>3.9014851999999998</v>
      </c>
      <c r="AB393" s="5">
        <v>587.69608077973487</v>
      </c>
    </row>
    <row r="394" spans="2:28" x14ac:dyDescent="0.35">
      <c r="B394" s="5">
        <v>388</v>
      </c>
      <c r="C394" s="5">
        <v>478.6863683890416</v>
      </c>
      <c r="D394" s="5">
        <v>10.682876988896561</v>
      </c>
      <c r="E394" s="5">
        <v>12.11883333722221</v>
      </c>
      <c r="F394" s="5">
        <v>132.84238815943527</v>
      </c>
      <c r="G394" s="5">
        <v>146.69728211320523</v>
      </c>
      <c r="H394" s="5">
        <v>18.215064261333104</v>
      </c>
      <c r="I394" s="5">
        <v>1.0825963627818824</v>
      </c>
      <c r="J394" s="5">
        <v>30.384954104102754</v>
      </c>
      <c r="K394" s="5">
        <v>58.165522154177353</v>
      </c>
      <c r="L394" s="5">
        <v>6.67589119432962</v>
      </c>
      <c r="M394" s="5" t="b">
        <v>0</v>
      </c>
      <c r="N394" s="5" t="b">
        <v>0</v>
      </c>
      <c r="O394" s="5" t="b">
        <v>0</v>
      </c>
      <c r="P394" s="5" t="b">
        <v>0</v>
      </c>
      <c r="Q394" s="5" t="b">
        <v>0</v>
      </c>
      <c r="R394" s="5" t="b">
        <v>1</v>
      </c>
      <c r="S394" s="5" t="b">
        <v>0</v>
      </c>
      <c r="T394" s="5" t="b">
        <v>0</v>
      </c>
      <c r="U394" s="5" t="b">
        <v>0</v>
      </c>
      <c r="V394" s="5" t="b">
        <v>0</v>
      </c>
      <c r="W394" s="5" t="b">
        <v>0</v>
      </c>
      <c r="X394" s="5">
        <v>1</v>
      </c>
      <c r="Y394" s="5">
        <v>1</v>
      </c>
      <c r="Z394" s="5" t="b">
        <v>1</v>
      </c>
      <c r="AA394" s="5">
        <v>4.5838049999999999</v>
      </c>
      <c r="AB394" s="5">
        <v>588.69768838904156</v>
      </c>
    </row>
    <row r="395" spans="2:28" x14ac:dyDescent="0.35">
      <c r="B395" s="5">
        <v>428</v>
      </c>
      <c r="C395" s="5">
        <v>540.84016973454402</v>
      </c>
      <c r="D395" s="5">
        <v>11.627245253369725</v>
      </c>
      <c r="E395" s="5">
        <v>10.114700241777461</v>
      </c>
      <c r="F395" s="5">
        <v>137.24688575772782</v>
      </c>
      <c r="G395" s="5">
        <v>145.24750597092344</v>
      </c>
      <c r="H395" s="5">
        <v>11.836966028564749</v>
      </c>
      <c r="I395" s="5">
        <v>1.3504208267569917</v>
      </c>
      <c r="J395" s="5">
        <v>30.543024264396603</v>
      </c>
      <c r="K395" s="5">
        <v>69.115255872298874</v>
      </c>
      <c r="L395" s="5">
        <v>6.6622330492001653</v>
      </c>
      <c r="M395" s="5" t="b">
        <v>0</v>
      </c>
      <c r="N395" s="5" t="b">
        <v>0</v>
      </c>
      <c r="O395" s="5" t="b">
        <v>0</v>
      </c>
      <c r="P395" s="5" t="b">
        <v>0</v>
      </c>
      <c r="Q395" s="5" t="b">
        <v>0</v>
      </c>
      <c r="R395" s="5" t="b">
        <v>0</v>
      </c>
      <c r="S395" s="5" t="b">
        <v>0</v>
      </c>
      <c r="T395" s="5" t="b">
        <v>0</v>
      </c>
      <c r="U395" s="5" t="b">
        <v>0</v>
      </c>
      <c r="V395" s="5" t="b">
        <v>0</v>
      </c>
      <c r="W395" s="5" t="b">
        <v>0</v>
      </c>
      <c r="X395" s="5">
        <v>0</v>
      </c>
      <c r="Y395" s="5">
        <v>1</v>
      </c>
      <c r="Z395" s="5" t="b">
        <v>1</v>
      </c>
      <c r="AA395" s="5">
        <v>2.0052104000000002</v>
      </c>
      <c r="AB395" s="5">
        <v>588.96521933454403</v>
      </c>
    </row>
    <row r="396" spans="2:28" x14ac:dyDescent="0.35">
      <c r="B396" s="5">
        <v>366</v>
      </c>
      <c r="C396" s="5">
        <v>451.53707559387897</v>
      </c>
      <c r="D396" s="5">
        <v>10.300084214557041</v>
      </c>
      <c r="E396" s="5">
        <v>15.022719972869453</v>
      </c>
      <c r="F396" s="5">
        <v>137.38704252378528</v>
      </c>
      <c r="G396" s="5">
        <v>148.58091862387505</v>
      </c>
      <c r="H396" s="5">
        <v>18.451033899691314</v>
      </c>
      <c r="I396" s="5">
        <v>1.025902299389492</v>
      </c>
      <c r="J396" s="5">
        <v>31.444880511009895</v>
      </c>
      <c r="K396" s="5">
        <v>68.633724903406574</v>
      </c>
      <c r="L396" s="5">
        <v>6.6517580775051854</v>
      </c>
      <c r="M396" s="5" t="b">
        <v>0</v>
      </c>
      <c r="N396" s="5" t="b">
        <v>0</v>
      </c>
      <c r="O396" s="5" t="b">
        <v>0</v>
      </c>
      <c r="P396" s="5" t="b">
        <v>0</v>
      </c>
      <c r="Q396" s="5" t="b">
        <v>0</v>
      </c>
      <c r="R396" s="5" t="b">
        <v>0</v>
      </c>
      <c r="S396" s="5" t="b">
        <v>0</v>
      </c>
      <c r="T396" s="5" t="b">
        <v>0</v>
      </c>
      <c r="U396" s="5" t="b">
        <v>0</v>
      </c>
      <c r="V396" s="5" t="b">
        <v>0</v>
      </c>
      <c r="W396" s="5" t="b">
        <v>0</v>
      </c>
      <c r="X396" s="5">
        <v>1</v>
      </c>
      <c r="Y396" s="5">
        <v>4</v>
      </c>
      <c r="Z396" s="5" t="b">
        <v>0</v>
      </c>
      <c r="AA396" s="5">
        <v>5.9437145999999998</v>
      </c>
      <c r="AB396" s="5">
        <v>594.18622599387891</v>
      </c>
    </row>
    <row r="397" spans="2:28" x14ac:dyDescent="0.35">
      <c r="B397" s="5">
        <v>391</v>
      </c>
      <c r="C397" s="5">
        <v>481.68331874563694</v>
      </c>
      <c r="D397" s="5">
        <v>13.580964796874126</v>
      </c>
      <c r="E397" s="5">
        <v>10.254682050231805</v>
      </c>
      <c r="F397" s="5">
        <v>141.96893887899481</v>
      </c>
      <c r="G397" s="5">
        <v>179.63691160763688</v>
      </c>
      <c r="H397" s="5">
        <v>7.8215400454231219</v>
      </c>
      <c r="I397" s="5">
        <v>0.85980479317004654</v>
      </c>
      <c r="J397" s="5">
        <v>30.989294663773418</v>
      </c>
      <c r="K397" s="5">
        <v>70.829538370027421</v>
      </c>
      <c r="L397" s="5">
        <v>6.1525189882297715</v>
      </c>
      <c r="M397" s="5" t="b">
        <v>0</v>
      </c>
      <c r="N397" s="5" t="b">
        <v>0</v>
      </c>
      <c r="O397" s="5" t="b">
        <v>0</v>
      </c>
      <c r="P397" s="5" t="b">
        <v>0</v>
      </c>
      <c r="Q397" s="5" t="b">
        <v>0</v>
      </c>
      <c r="R397" s="5" t="b">
        <v>1</v>
      </c>
      <c r="S397" s="5" t="b">
        <v>0</v>
      </c>
      <c r="T397" s="5" t="b">
        <v>0</v>
      </c>
      <c r="U397" s="5" t="b">
        <v>0</v>
      </c>
      <c r="V397" s="5" t="b">
        <v>0</v>
      </c>
      <c r="W397" s="5" t="b">
        <v>0</v>
      </c>
      <c r="X397" s="5">
        <v>0</v>
      </c>
      <c r="Y397" s="5">
        <v>0</v>
      </c>
      <c r="Z397" s="5" t="b">
        <v>0</v>
      </c>
      <c r="AA397" s="5">
        <v>4.7361813000000001</v>
      </c>
      <c r="AB397" s="5">
        <v>595.3516699456369</v>
      </c>
    </row>
    <row r="398" spans="2:28" x14ac:dyDescent="0.35">
      <c r="B398" s="5">
        <v>395</v>
      </c>
      <c r="C398" s="5">
        <v>488.15445596694349</v>
      </c>
      <c r="D398" s="5">
        <v>14.345389645646097</v>
      </c>
      <c r="E398" s="5">
        <v>15.10242879422791</v>
      </c>
      <c r="F398" s="5">
        <v>131.14097518567863</v>
      </c>
      <c r="G398" s="5">
        <v>126.86850104625024</v>
      </c>
      <c r="H398" s="5">
        <v>37.310332818678873</v>
      </c>
      <c r="I398" s="5">
        <v>1.1138326219355994</v>
      </c>
      <c r="J398" s="5">
        <v>31.604303160928058</v>
      </c>
      <c r="K398" s="5">
        <v>81.451812624876098</v>
      </c>
      <c r="L398" s="5">
        <v>7.3115355735865357</v>
      </c>
      <c r="M398" s="5" t="b">
        <v>0</v>
      </c>
      <c r="N398" s="5" t="b">
        <v>0</v>
      </c>
      <c r="O398" s="5" t="b">
        <v>0</v>
      </c>
      <c r="P398" s="5" t="b">
        <v>0</v>
      </c>
      <c r="Q398" s="5" t="b">
        <v>0</v>
      </c>
      <c r="R398" s="5" t="b">
        <v>0</v>
      </c>
      <c r="S398" s="5" t="b">
        <v>0</v>
      </c>
      <c r="T398" s="5" t="b">
        <v>0</v>
      </c>
      <c r="U398" s="5" t="b">
        <v>0</v>
      </c>
      <c r="V398" s="5" t="b">
        <v>0</v>
      </c>
      <c r="W398" s="5" t="b">
        <v>0</v>
      </c>
      <c r="X398" s="5">
        <v>0</v>
      </c>
      <c r="Y398" s="5">
        <v>1</v>
      </c>
      <c r="Z398" s="5" t="b">
        <v>1</v>
      </c>
      <c r="AA398" s="5">
        <v>4.4745913000000002</v>
      </c>
      <c r="AB398" s="5">
        <v>595.54464716694349</v>
      </c>
    </row>
    <row r="399" spans="2:28" x14ac:dyDescent="0.35">
      <c r="B399" s="5">
        <v>422</v>
      </c>
      <c r="C399" s="5">
        <v>526.83767078564551</v>
      </c>
      <c r="D399" s="5">
        <v>11.69996371364828</v>
      </c>
      <c r="E399" s="5">
        <v>7.0187661286966661</v>
      </c>
      <c r="F399" s="5">
        <v>139.77183208645175</v>
      </c>
      <c r="G399" s="5">
        <v>138.71256886246704</v>
      </c>
      <c r="H399" s="5">
        <v>10.123230013631867</v>
      </c>
      <c r="I399" s="5">
        <v>1.3918088412493308</v>
      </c>
      <c r="J399" s="5">
        <v>31.885860370829267</v>
      </c>
      <c r="K399" s="5">
        <v>64.485547082043254</v>
      </c>
      <c r="L399" s="5">
        <v>6.6254374171946804</v>
      </c>
      <c r="M399" s="5" t="b">
        <v>0</v>
      </c>
      <c r="N399" s="5" t="b">
        <v>0</v>
      </c>
      <c r="O399" s="5" t="b">
        <v>1</v>
      </c>
      <c r="P399" s="5" t="b">
        <v>0</v>
      </c>
      <c r="Q399" s="5" t="b">
        <v>0</v>
      </c>
      <c r="R399" s="5" t="b">
        <v>0</v>
      </c>
      <c r="S399" s="5" t="b">
        <v>0</v>
      </c>
      <c r="T399" s="5" t="b">
        <v>0</v>
      </c>
      <c r="U399" s="5" t="b">
        <v>0</v>
      </c>
      <c r="V399" s="5" t="b">
        <v>0</v>
      </c>
      <c r="W399" s="5" t="b">
        <v>0</v>
      </c>
      <c r="X399" s="5">
        <v>1</v>
      </c>
      <c r="Y399" s="5">
        <v>0</v>
      </c>
      <c r="Z399" s="5" t="b">
        <v>0</v>
      </c>
      <c r="AA399" s="5">
        <v>2.8670168</v>
      </c>
      <c r="AB399" s="5">
        <v>595.64607398564556</v>
      </c>
    </row>
    <row r="400" spans="2:28" x14ac:dyDescent="0.35">
      <c r="B400" s="5">
        <v>455</v>
      </c>
      <c r="C400" s="5">
        <v>572.01327468391685</v>
      </c>
      <c r="D400" s="5">
        <v>13.287375953582737</v>
      </c>
      <c r="E400" s="5">
        <v>11.969691863577136</v>
      </c>
      <c r="F400" s="5">
        <v>135.47087565251027</v>
      </c>
      <c r="G400" s="5">
        <v>169.4026863019408</v>
      </c>
      <c r="H400" s="5">
        <v>22.016629681555713</v>
      </c>
      <c r="I400" s="5">
        <v>1.2217783733594001</v>
      </c>
      <c r="J400" s="5">
        <v>28.558907710245734</v>
      </c>
      <c r="K400" s="5">
        <v>69.666128146334884</v>
      </c>
      <c r="L400" s="5">
        <v>6.9544365211489891</v>
      </c>
      <c r="M400" s="5" t="b">
        <v>0</v>
      </c>
      <c r="N400" s="5" t="b">
        <v>0</v>
      </c>
      <c r="O400" s="5" t="b">
        <v>0</v>
      </c>
      <c r="P400" s="5" t="b">
        <v>0</v>
      </c>
      <c r="Q400" s="5" t="b">
        <v>0</v>
      </c>
      <c r="R400" s="5" t="b">
        <v>0</v>
      </c>
      <c r="S400" s="5" t="b">
        <v>0</v>
      </c>
      <c r="T400" s="5" t="b">
        <v>0</v>
      </c>
      <c r="U400" s="5" t="b">
        <v>0</v>
      </c>
      <c r="V400" s="5" t="b">
        <v>0</v>
      </c>
      <c r="W400" s="5" t="b">
        <v>0</v>
      </c>
      <c r="X400" s="5">
        <v>1</v>
      </c>
      <c r="Y400" s="5">
        <v>0</v>
      </c>
      <c r="Z400" s="5" t="b">
        <v>0</v>
      </c>
      <c r="AA400" s="5">
        <v>0.99310399999999999</v>
      </c>
      <c r="AB400" s="5">
        <v>595.84777068391679</v>
      </c>
    </row>
    <row r="401" spans="2:28" x14ac:dyDescent="0.35">
      <c r="B401" s="5">
        <v>458</v>
      </c>
      <c r="C401" s="5">
        <v>573.24056977222676</v>
      </c>
      <c r="D401" s="5">
        <v>9.7240170061649174</v>
      </c>
      <c r="E401" s="5">
        <v>9.2584630689444243</v>
      </c>
      <c r="F401" s="5">
        <v>140.00217026042705</v>
      </c>
      <c r="G401" s="5">
        <v>162.72694126508068</v>
      </c>
      <c r="H401" s="5">
        <v>0.96682331564915813</v>
      </c>
      <c r="I401" s="5">
        <v>1.1080125120504618</v>
      </c>
      <c r="J401" s="5">
        <v>29.761817671824758</v>
      </c>
      <c r="K401" s="5">
        <v>72.738694969934841</v>
      </c>
      <c r="L401" s="5">
        <v>6.6384954340470603</v>
      </c>
      <c r="M401" s="5" t="b">
        <v>0</v>
      </c>
      <c r="N401" s="5" t="b">
        <v>0</v>
      </c>
      <c r="O401" s="5" t="b">
        <v>0</v>
      </c>
      <c r="P401" s="5" t="b">
        <v>0</v>
      </c>
      <c r="Q401" s="5" t="b">
        <v>0</v>
      </c>
      <c r="R401" s="5" t="b">
        <v>0</v>
      </c>
      <c r="S401" s="5" t="b">
        <v>0</v>
      </c>
      <c r="T401" s="5" t="b">
        <v>0</v>
      </c>
      <c r="U401" s="5" t="b">
        <v>0</v>
      </c>
      <c r="V401" s="5" t="b">
        <v>0</v>
      </c>
      <c r="W401" s="5" t="b">
        <v>0</v>
      </c>
      <c r="X401" s="5">
        <v>2</v>
      </c>
      <c r="Y401" s="5">
        <v>0</v>
      </c>
      <c r="Z401" s="5" t="b">
        <v>1</v>
      </c>
      <c r="AA401" s="5">
        <v>1.0077727999999997</v>
      </c>
      <c r="AB401" s="5">
        <v>597.42711697222671</v>
      </c>
    </row>
    <row r="402" spans="2:28" x14ac:dyDescent="0.35">
      <c r="B402" s="5">
        <v>382</v>
      </c>
      <c r="C402" s="5">
        <v>472.39048176982186</v>
      </c>
      <c r="D402" s="5">
        <v>9.4778832071640053</v>
      </c>
      <c r="E402" s="5">
        <v>9.7392342761815662</v>
      </c>
      <c r="F402" s="5">
        <v>137.06330682768046</v>
      </c>
      <c r="G402" s="5">
        <v>149.35103829182893</v>
      </c>
      <c r="H402" s="5">
        <v>36.285753383487823</v>
      </c>
      <c r="I402" s="5">
        <v>1.2811020440448859</v>
      </c>
      <c r="J402" s="5">
        <v>32.652129418623765</v>
      </c>
      <c r="K402" s="5">
        <v>70.244414334869788</v>
      </c>
      <c r="L402" s="5">
        <v>6.9021784512736319</v>
      </c>
      <c r="M402" s="5" t="b">
        <v>0</v>
      </c>
      <c r="N402" s="5" t="b">
        <v>0</v>
      </c>
      <c r="O402" s="5" t="b">
        <v>0</v>
      </c>
      <c r="P402" s="5" t="b">
        <v>0</v>
      </c>
      <c r="Q402" s="5" t="b">
        <v>0</v>
      </c>
      <c r="R402" s="5" t="b">
        <v>1</v>
      </c>
      <c r="S402" s="5" t="b">
        <v>0</v>
      </c>
      <c r="T402" s="5" t="b">
        <v>0</v>
      </c>
      <c r="U402" s="5" t="b">
        <v>0</v>
      </c>
      <c r="V402" s="5" t="b">
        <v>0</v>
      </c>
      <c r="W402" s="5" t="b">
        <v>0</v>
      </c>
      <c r="X402" s="5">
        <v>4</v>
      </c>
      <c r="Y402" s="5">
        <v>1</v>
      </c>
      <c r="Z402" s="5" t="b">
        <v>0</v>
      </c>
      <c r="AA402" s="5">
        <v>5.2490152999999999</v>
      </c>
      <c r="AB402" s="5">
        <v>598.36684896982183</v>
      </c>
    </row>
    <row r="403" spans="2:28" x14ac:dyDescent="0.35">
      <c r="B403" s="5">
        <v>378</v>
      </c>
      <c r="C403" s="5">
        <v>468.90576923532308</v>
      </c>
      <c r="D403" s="5">
        <v>11.054796075589609</v>
      </c>
      <c r="E403" s="5">
        <v>3.728200290659955</v>
      </c>
      <c r="F403" s="5">
        <v>137.83373885081895</v>
      </c>
      <c r="G403" s="5">
        <v>193.94101312346751</v>
      </c>
      <c r="H403" s="5">
        <v>22.602336464865857</v>
      </c>
      <c r="I403" s="5">
        <v>1.2832771837068704</v>
      </c>
      <c r="J403" s="5">
        <v>26.463027151936128</v>
      </c>
      <c r="K403" s="5">
        <v>74.94533432148269</v>
      </c>
      <c r="L403" s="5">
        <v>6.9173844061034711</v>
      </c>
      <c r="M403" s="5" t="b">
        <v>0</v>
      </c>
      <c r="N403" s="5" t="b">
        <v>0</v>
      </c>
      <c r="O403" s="5" t="b">
        <v>0</v>
      </c>
      <c r="P403" s="5" t="b">
        <v>0</v>
      </c>
      <c r="Q403" s="5" t="b">
        <v>0</v>
      </c>
      <c r="R403" s="5" t="b">
        <v>1</v>
      </c>
      <c r="S403" s="5" t="b">
        <v>0</v>
      </c>
      <c r="T403" s="5" t="b">
        <v>0</v>
      </c>
      <c r="U403" s="5" t="b">
        <v>0</v>
      </c>
      <c r="V403" s="5" t="b">
        <v>0</v>
      </c>
      <c r="W403" s="5" t="b">
        <v>0</v>
      </c>
      <c r="X403" s="5">
        <v>1</v>
      </c>
      <c r="Y403" s="5">
        <v>1</v>
      </c>
      <c r="Z403" s="5" t="b">
        <v>1</v>
      </c>
      <c r="AA403" s="5">
        <v>5.4081903000000002</v>
      </c>
      <c r="AB403" s="5">
        <v>598.7023364353231</v>
      </c>
    </row>
    <row r="404" spans="2:28" x14ac:dyDescent="0.35">
      <c r="B404" s="5">
        <v>383</v>
      </c>
      <c r="C404" s="5">
        <v>472.60497171494222</v>
      </c>
      <c r="D404" s="5">
        <v>11.146027631807085</v>
      </c>
      <c r="E404" s="5">
        <v>12.146741344002324</v>
      </c>
      <c r="F404" s="5">
        <v>141.34212532212351</v>
      </c>
      <c r="G404" s="5">
        <v>163.05760533060536</v>
      </c>
      <c r="H404" s="5">
        <v>8.8693876035417443</v>
      </c>
      <c r="I404" s="5">
        <v>1.0403209545367167</v>
      </c>
      <c r="J404" s="5">
        <v>29.81550268809276</v>
      </c>
      <c r="K404" s="5">
        <v>88.861145924838723</v>
      </c>
      <c r="L404" s="5">
        <v>6.5594135660922017</v>
      </c>
      <c r="M404" s="5" t="b">
        <v>0</v>
      </c>
      <c r="N404" s="5" t="b">
        <v>0</v>
      </c>
      <c r="O404" s="5" t="b">
        <v>0</v>
      </c>
      <c r="P404" s="5" t="b">
        <v>0</v>
      </c>
      <c r="Q404" s="5" t="b">
        <v>0</v>
      </c>
      <c r="R404" s="5" t="b">
        <v>1</v>
      </c>
      <c r="S404" s="5" t="b">
        <v>0</v>
      </c>
      <c r="T404" s="5" t="b">
        <v>0</v>
      </c>
      <c r="U404" s="5" t="b">
        <v>0</v>
      </c>
      <c r="V404" s="5" t="b">
        <v>0</v>
      </c>
      <c r="W404" s="5" t="b">
        <v>0</v>
      </c>
      <c r="X404" s="5">
        <v>0</v>
      </c>
      <c r="Y404" s="5">
        <v>2</v>
      </c>
      <c r="Z404" s="5" t="b">
        <v>1</v>
      </c>
      <c r="AA404" s="5">
        <v>5.2984103999999999</v>
      </c>
      <c r="AB404" s="5">
        <v>599.76682131494226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7193-80DB-4396-87D8-3BAB8E55549C}">
  <dimension ref="B1:J406"/>
  <sheetViews>
    <sheetView topLeftCell="B1" workbookViewId="0">
      <selection activeCell="K12" sqref="K12"/>
    </sheetView>
  </sheetViews>
  <sheetFormatPr defaultRowHeight="14.5" x14ac:dyDescent="0.35"/>
  <cols>
    <col min="2" max="8" width="8.7265625" style="1" collapsed="1"/>
    <col min="9" max="9" width="13.453125" style="1" bestFit="1" customWidth="1" collapsed="1"/>
  </cols>
  <sheetData>
    <row r="1" spans="2:10" ht="37" customHeight="1" x14ac:dyDescent="0.35">
      <c r="B1" s="3" t="s">
        <v>1</v>
      </c>
      <c r="C1" s="3" t="s">
        <v>28</v>
      </c>
      <c r="D1" s="3" t="s">
        <v>29</v>
      </c>
      <c r="E1" s="3" t="s">
        <v>30</v>
      </c>
      <c r="F1" s="3" t="s">
        <v>33</v>
      </c>
      <c r="G1" s="3" t="s">
        <v>31</v>
      </c>
      <c r="H1" s="3" t="s">
        <v>32</v>
      </c>
      <c r="I1" s="3" t="s">
        <v>34</v>
      </c>
      <c r="J1" s="3" t="s">
        <v>1</v>
      </c>
    </row>
    <row r="2" spans="2:10" x14ac:dyDescent="0.35">
      <c r="B2">
        <v>2</v>
      </c>
      <c r="C2">
        <v>5.3304181820269748E-4</v>
      </c>
      <c r="D2">
        <v>3.0463681000000005</v>
      </c>
      <c r="E2">
        <v>73.113367441818212</v>
      </c>
      <c r="F2">
        <v>0</v>
      </c>
      <c r="G2" s="1">
        <f>E2-F2</f>
        <v>73.113367441818212</v>
      </c>
      <c r="H2" s="1">
        <f t="shared" ref="H2:H65" si="0">D2*24</f>
        <v>73.112834400000011</v>
      </c>
      <c r="I2" s="2">
        <f>G2-H2</f>
        <v>5.3304181820124086E-4</v>
      </c>
      <c r="J2">
        <f t="shared" ref="J2:J65" si="1">B2</f>
        <v>2</v>
      </c>
    </row>
    <row r="3" spans="2:10" x14ac:dyDescent="0.35">
      <c r="B3">
        <v>3</v>
      </c>
      <c r="C3">
        <v>7.0420195614330917E-4</v>
      </c>
      <c r="D3">
        <v>3.6269608</v>
      </c>
      <c r="E3">
        <v>87.047763401956132</v>
      </c>
      <c r="F3">
        <v>0</v>
      </c>
      <c r="G3" s="1">
        <f t="shared" ref="G3:G66" si="2">E3-F3</f>
        <v>87.047763401956132</v>
      </c>
      <c r="H3" s="1">
        <f t="shared" si="0"/>
        <v>87.047059200000007</v>
      </c>
      <c r="I3" s="2">
        <f t="shared" ref="I3:I66" si="3">G3-H3</f>
        <v>7.0420195612541647E-4</v>
      </c>
      <c r="J3">
        <f t="shared" si="1"/>
        <v>3</v>
      </c>
    </row>
    <row r="4" spans="2:10" x14ac:dyDescent="0.35">
      <c r="B4">
        <v>4</v>
      </c>
      <c r="C4">
        <v>4.3423130152080603E-4</v>
      </c>
      <c r="D4">
        <v>4.8148520000000001</v>
      </c>
      <c r="E4">
        <v>115.55688223130154</v>
      </c>
      <c r="F4">
        <v>0</v>
      </c>
      <c r="G4" s="1">
        <f t="shared" si="2"/>
        <v>115.55688223130154</v>
      </c>
      <c r="H4" s="1">
        <f t="shared" si="0"/>
        <v>115.556448</v>
      </c>
      <c r="I4" s="2">
        <f t="shared" si="3"/>
        <v>4.3423130153996681E-4</v>
      </c>
      <c r="J4">
        <f t="shared" si="1"/>
        <v>4</v>
      </c>
    </row>
    <row r="5" spans="2:10" x14ac:dyDescent="0.35">
      <c r="B5">
        <v>5</v>
      </c>
      <c r="C5">
        <v>4.669687008082451E-4</v>
      </c>
      <c r="D5">
        <v>2.3231988000000001</v>
      </c>
      <c r="E5">
        <v>55.757238168700809</v>
      </c>
      <c r="F5">
        <v>0</v>
      </c>
      <c r="G5" s="1">
        <f t="shared" si="2"/>
        <v>55.757238168700809</v>
      </c>
      <c r="H5" s="1">
        <f t="shared" si="0"/>
        <v>55.756771200000003</v>
      </c>
      <c r="I5" s="2">
        <f t="shared" si="3"/>
        <v>4.6696870080609187E-4</v>
      </c>
      <c r="J5">
        <f t="shared" si="1"/>
        <v>5</v>
      </c>
    </row>
    <row r="6" spans="2:10" x14ac:dyDescent="0.35">
      <c r="B6">
        <v>6</v>
      </c>
      <c r="C6">
        <v>3.3619766694211606E-4</v>
      </c>
      <c r="D6">
        <v>2.9677210000000001</v>
      </c>
      <c r="E6">
        <v>71.225640197666934</v>
      </c>
      <c r="F6">
        <v>0</v>
      </c>
      <c r="G6" s="1">
        <f t="shared" si="2"/>
        <v>71.225640197666934</v>
      </c>
      <c r="H6" s="1">
        <f t="shared" si="0"/>
        <v>71.225303999999994</v>
      </c>
      <c r="I6" s="2">
        <f t="shared" si="3"/>
        <v>3.3619766693959718E-4</v>
      </c>
      <c r="J6">
        <f t="shared" si="1"/>
        <v>6</v>
      </c>
    </row>
    <row r="7" spans="2:10" x14ac:dyDescent="0.35">
      <c r="B7">
        <v>7</v>
      </c>
      <c r="C7">
        <v>2.0003859353125946</v>
      </c>
      <c r="D7">
        <v>3.7618775000000007</v>
      </c>
      <c r="E7">
        <v>92.285445935312595</v>
      </c>
      <c r="F7">
        <v>2</v>
      </c>
      <c r="G7" s="1">
        <f t="shared" si="2"/>
        <v>90.285445935312595</v>
      </c>
      <c r="H7" s="1">
        <f t="shared" si="0"/>
        <v>90.285060000000016</v>
      </c>
      <c r="I7" s="2">
        <f t="shared" si="3"/>
        <v>3.8593531257902214E-4</v>
      </c>
      <c r="J7">
        <f t="shared" si="1"/>
        <v>7</v>
      </c>
    </row>
    <row r="8" spans="2:10" x14ac:dyDescent="0.35">
      <c r="B8">
        <v>8</v>
      </c>
      <c r="C8">
        <v>2.0007993441807033</v>
      </c>
      <c r="D8">
        <v>0.99263619999999997</v>
      </c>
      <c r="E8">
        <v>25.8240681441807</v>
      </c>
      <c r="F8">
        <v>2</v>
      </c>
      <c r="G8" s="1">
        <f t="shared" si="2"/>
        <v>23.8240681441807</v>
      </c>
      <c r="H8" s="1">
        <f t="shared" si="0"/>
        <v>23.823268800000001</v>
      </c>
      <c r="I8" s="2">
        <f t="shared" si="3"/>
        <v>7.993441806988244E-4</v>
      </c>
      <c r="J8">
        <f t="shared" si="1"/>
        <v>8</v>
      </c>
    </row>
    <row r="9" spans="2:10" x14ac:dyDescent="0.35">
      <c r="B9">
        <v>9</v>
      </c>
      <c r="C9">
        <v>6.0004070130811407</v>
      </c>
      <c r="D9">
        <v>2.8648527000000001</v>
      </c>
      <c r="E9">
        <v>74.756871813081148</v>
      </c>
      <c r="F9">
        <v>6</v>
      </c>
      <c r="G9" s="1">
        <f t="shared" si="2"/>
        <v>68.756871813081148</v>
      </c>
      <c r="H9" s="1">
        <f t="shared" si="0"/>
        <v>68.756464800000003</v>
      </c>
      <c r="I9" s="2">
        <f t="shared" si="3"/>
        <v>4.0701308114421408E-4</v>
      </c>
      <c r="J9">
        <f t="shared" si="1"/>
        <v>9</v>
      </c>
    </row>
    <row r="10" spans="2:10" x14ac:dyDescent="0.35">
      <c r="B10">
        <v>11</v>
      </c>
      <c r="C10">
        <v>6.0005264997408121</v>
      </c>
      <c r="D10">
        <v>3.9030523000000006</v>
      </c>
      <c r="E10">
        <v>99.673781699740815</v>
      </c>
      <c r="F10">
        <v>6</v>
      </c>
      <c r="G10" s="1">
        <f t="shared" si="2"/>
        <v>93.673781699740815</v>
      </c>
      <c r="H10" s="1">
        <f t="shared" si="0"/>
        <v>93.673255200000014</v>
      </c>
      <c r="I10" s="2">
        <f t="shared" si="3"/>
        <v>5.2649974080054562E-4</v>
      </c>
      <c r="J10">
        <f t="shared" si="1"/>
        <v>11</v>
      </c>
    </row>
    <row r="11" spans="2:10" x14ac:dyDescent="0.35">
      <c r="B11">
        <v>12</v>
      </c>
      <c r="C11">
        <v>6.0006466095444129</v>
      </c>
      <c r="D11">
        <v>2.5969033000000001</v>
      </c>
      <c r="E11">
        <v>68.326325809544414</v>
      </c>
      <c r="F11">
        <v>6</v>
      </c>
      <c r="G11" s="1">
        <f t="shared" si="2"/>
        <v>62.326325809544414</v>
      </c>
      <c r="H11" s="1">
        <f t="shared" si="0"/>
        <v>62.325679200000003</v>
      </c>
      <c r="I11" s="2">
        <f t="shared" si="3"/>
        <v>6.4660954441109197E-4</v>
      </c>
      <c r="J11">
        <f t="shared" si="1"/>
        <v>12</v>
      </c>
    </row>
    <row r="12" spans="2:10" x14ac:dyDescent="0.35">
      <c r="B12">
        <v>13</v>
      </c>
      <c r="C12">
        <v>6.0005114027811528</v>
      </c>
      <c r="D12">
        <v>6.0982102999999999</v>
      </c>
      <c r="E12">
        <v>152.35755860278113</v>
      </c>
      <c r="F12">
        <v>6</v>
      </c>
      <c r="G12" s="1">
        <f t="shared" si="2"/>
        <v>146.35755860278113</v>
      </c>
      <c r="H12" s="1">
        <f t="shared" si="0"/>
        <v>146.35704720000001</v>
      </c>
      <c r="I12" s="2">
        <f t="shared" si="3"/>
        <v>5.1140278111461157E-4</v>
      </c>
      <c r="J12">
        <f t="shared" si="1"/>
        <v>13</v>
      </c>
    </row>
    <row r="13" spans="2:10" x14ac:dyDescent="0.35">
      <c r="B13">
        <v>14</v>
      </c>
      <c r="C13">
        <v>6.0008356483798595</v>
      </c>
      <c r="D13">
        <v>4.8944334999999999</v>
      </c>
      <c r="E13">
        <v>123.46723964837985</v>
      </c>
      <c r="F13">
        <v>6.0004070130811398</v>
      </c>
      <c r="G13" s="1">
        <f>E13-F13</f>
        <v>117.4668326352987</v>
      </c>
      <c r="H13" s="1">
        <f t="shared" si="0"/>
        <v>117.466404</v>
      </c>
      <c r="I13" s="2">
        <f>G13-H13</f>
        <v>4.2863529870373895E-4</v>
      </c>
      <c r="J13">
        <f t="shared" si="1"/>
        <v>14</v>
      </c>
    </row>
    <row r="14" spans="2:10" x14ac:dyDescent="0.35">
      <c r="B14">
        <v>15</v>
      </c>
      <c r="C14">
        <v>6.0009688523343669</v>
      </c>
      <c r="D14">
        <v>2.7918910000000001</v>
      </c>
      <c r="E14">
        <v>73.006352852334373</v>
      </c>
      <c r="F14">
        <v>6.0005114027811528</v>
      </c>
      <c r="G14" s="1">
        <f t="shared" si="2"/>
        <v>67.005841449553216</v>
      </c>
      <c r="H14" s="1">
        <f t="shared" si="0"/>
        <v>67.005384000000006</v>
      </c>
      <c r="I14" s="2">
        <f t="shared" si="3"/>
        <v>4.5744955320969893E-4</v>
      </c>
      <c r="J14">
        <f t="shared" si="1"/>
        <v>15</v>
      </c>
    </row>
    <row r="15" spans="2:10" x14ac:dyDescent="0.35">
      <c r="B15">
        <v>15</v>
      </c>
      <c r="C15">
        <v>6.0012314825376878</v>
      </c>
      <c r="D15">
        <v>9.0491349999999997</v>
      </c>
      <c r="E15">
        <v>223.18047148253768</v>
      </c>
      <c r="F15">
        <v>6.0005301908763666</v>
      </c>
      <c r="G15" s="1">
        <f t="shared" si="2"/>
        <v>217.17994129166132</v>
      </c>
      <c r="H15" s="1">
        <f t="shared" si="0"/>
        <v>217.17923999999999</v>
      </c>
      <c r="I15" s="2">
        <f t="shared" si="3"/>
        <v>7.0129166132915088E-4</v>
      </c>
      <c r="J15">
        <f t="shared" si="1"/>
        <v>15</v>
      </c>
    </row>
    <row r="16" spans="2:10" x14ac:dyDescent="0.35">
      <c r="B16">
        <v>16</v>
      </c>
      <c r="C16">
        <v>6.0012851371291367</v>
      </c>
      <c r="D16">
        <v>6.5187534999999999</v>
      </c>
      <c r="E16">
        <v>162.45136913712915</v>
      </c>
      <c r="F16">
        <v>6.0005264997408121</v>
      </c>
      <c r="G16" s="1">
        <f t="shared" si="2"/>
        <v>156.45084263738835</v>
      </c>
      <c r="H16" s="1">
        <f t="shared" si="0"/>
        <v>156.450084</v>
      </c>
      <c r="I16" s="2">
        <f t="shared" si="3"/>
        <v>7.5863738834414107E-4</v>
      </c>
      <c r="J16">
        <f t="shared" si="1"/>
        <v>16</v>
      </c>
    </row>
    <row r="17" spans="2:10" x14ac:dyDescent="0.35">
      <c r="B17">
        <v>17</v>
      </c>
      <c r="C17">
        <v>6.0013195968076953</v>
      </c>
      <c r="D17">
        <v>5.6174416999999996</v>
      </c>
      <c r="E17">
        <v>140.81992039680767</v>
      </c>
      <c r="F17">
        <v>6.00063583688683</v>
      </c>
      <c r="G17" s="1">
        <f t="shared" si="2"/>
        <v>134.81928455992085</v>
      </c>
      <c r="H17" s="1">
        <f t="shared" si="0"/>
        <v>134.81860079999998</v>
      </c>
      <c r="I17" s="2">
        <f t="shared" si="3"/>
        <v>6.8375992086089354E-4</v>
      </c>
      <c r="J17">
        <f t="shared" si="1"/>
        <v>17</v>
      </c>
    </row>
    <row r="18" spans="2:10" x14ac:dyDescent="0.35">
      <c r="B18">
        <v>19</v>
      </c>
      <c r="C18">
        <v>6.0012755704923917</v>
      </c>
      <c r="D18">
        <v>2.0354152000000001</v>
      </c>
      <c r="E18">
        <v>54.851240370492391</v>
      </c>
      <c r="F18">
        <v>6.0008356483798595</v>
      </c>
      <c r="G18" s="1">
        <f t="shared" si="2"/>
        <v>48.850404722112529</v>
      </c>
      <c r="H18" s="1">
        <f t="shared" si="0"/>
        <v>48.849964800000002</v>
      </c>
      <c r="I18" s="2">
        <f t="shared" si="3"/>
        <v>4.399221125268582E-4</v>
      </c>
      <c r="J18">
        <f t="shared" si="1"/>
        <v>19</v>
      </c>
    </row>
    <row r="19" spans="2:10" x14ac:dyDescent="0.35">
      <c r="B19">
        <v>20</v>
      </c>
      <c r="C19">
        <v>6.0016718852476014</v>
      </c>
      <c r="D19">
        <v>1.8012538</v>
      </c>
      <c r="E19">
        <v>49.2317630852476</v>
      </c>
      <c r="F19">
        <v>6.0009688523343669</v>
      </c>
      <c r="G19" s="1">
        <f t="shared" si="2"/>
        <v>43.230794232913233</v>
      </c>
      <c r="H19" s="1">
        <f t="shared" si="0"/>
        <v>43.230091200000004</v>
      </c>
      <c r="I19" s="2">
        <f t="shared" si="3"/>
        <v>7.0303291322915129E-4</v>
      </c>
      <c r="J19">
        <f t="shared" si="1"/>
        <v>20</v>
      </c>
    </row>
    <row r="20" spans="2:10" x14ac:dyDescent="0.35">
      <c r="B20">
        <v>21</v>
      </c>
      <c r="C20">
        <v>6.0015287617179913</v>
      </c>
      <c r="D20">
        <v>6.1584373000000001</v>
      </c>
      <c r="E20">
        <v>153.80402396171797</v>
      </c>
      <c r="F20">
        <v>6.0012134302736024</v>
      </c>
      <c r="G20" s="1">
        <f t="shared" si="2"/>
        <v>147.80281053144438</v>
      </c>
      <c r="H20" s="1">
        <f t="shared" si="0"/>
        <v>147.80249520000001</v>
      </c>
      <c r="I20" s="2">
        <f t="shared" si="3"/>
        <v>3.153314443693489E-4</v>
      </c>
      <c r="J20">
        <f t="shared" si="1"/>
        <v>21</v>
      </c>
    </row>
    <row r="21" spans="2:10" x14ac:dyDescent="0.35">
      <c r="B21">
        <v>22</v>
      </c>
      <c r="C21">
        <v>6.0018569016072139</v>
      </c>
      <c r="D21">
        <v>4.8966390000000004</v>
      </c>
      <c r="E21">
        <v>123.52119290160722</v>
      </c>
      <c r="F21">
        <v>6.0012755704923917</v>
      </c>
      <c r="G21" s="1">
        <f t="shared" si="2"/>
        <v>117.51991733111483</v>
      </c>
      <c r="H21" s="1">
        <f t="shared" si="0"/>
        <v>117.51933600000001</v>
      </c>
      <c r="I21" s="2">
        <f t="shared" si="3"/>
        <v>5.8133111481595279E-4</v>
      </c>
      <c r="J21">
        <f t="shared" si="1"/>
        <v>22</v>
      </c>
    </row>
    <row r="22" spans="2:10" x14ac:dyDescent="0.35">
      <c r="B22">
        <v>23</v>
      </c>
      <c r="C22">
        <v>6.0018805304477034</v>
      </c>
      <c r="D22">
        <v>0.99449220000000005</v>
      </c>
      <c r="E22">
        <v>29.869693330447703</v>
      </c>
      <c r="F22">
        <v>6.0012851371291367</v>
      </c>
      <c r="G22" s="1">
        <f t="shared" si="2"/>
        <v>23.868408193318565</v>
      </c>
      <c r="H22" s="1">
        <f t="shared" si="0"/>
        <v>23.867812800000003</v>
      </c>
      <c r="I22" s="2">
        <f t="shared" si="3"/>
        <v>5.9539331856228728E-4</v>
      </c>
      <c r="J22">
        <f t="shared" si="1"/>
        <v>23</v>
      </c>
    </row>
    <row r="23" spans="2:10" x14ac:dyDescent="0.35">
      <c r="B23">
        <v>23</v>
      </c>
      <c r="C23">
        <v>6.0018456011574752</v>
      </c>
      <c r="D23">
        <v>10.303682999999999</v>
      </c>
      <c r="E23">
        <v>253.29023760115743</v>
      </c>
      <c r="F23">
        <v>6.0014153279398696</v>
      </c>
      <c r="G23" s="1">
        <f t="shared" si="2"/>
        <v>247.28882227321756</v>
      </c>
      <c r="H23" s="1">
        <f t="shared" si="0"/>
        <v>247.28839199999999</v>
      </c>
      <c r="I23" s="2">
        <f t="shared" si="3"/>
        <v>4.3027321757449499E-4</v>
      </c>
      <c r="J23">
        <f t="shared" si="1"/>
        <v>23</v>
      </c>
    </row>
    <row r="24" spans="2:10" x14ac:dyDescent="0.35">
      <c r="B24">
        <v>24</v>
      </c>
      <c r="C24">
        <v>12.000747755723735</v>
      </c>
      <c r="D24">
        <v>4.4945760000000003</v>
      </c>
      <c r="E24">
        <v>119.87057175572376</v>
      </c>
      <c r="F24">
        <v>12</v>
      </c>
      <c r="G24" s="1">
        <f t="shared" si="2"/>
        <v>107.87057175572376</v>
      </c>
      <c r="H24" s="1">
        <f t="shared" si="0"/>
        <v>107.86982400000001</v>
      </c>
      <c r="I24" s="2">
        <f t="shared" si="3"/>
        <v>7.4775572375074262E-4</v>
      </c>
      <c r="J24">
        <f t="shared" si="1"/>
        <v>24</v>
      </c>
    </row>
    <row r="25" spans="2:10" x14ac:dyDescent="0.35">
      <c r="B25">
        <v>26</v>
      </c>
      <c r="C25">
        <v>12.000552960236048</v>
      </c>
      <c r="D25">
        <v>4.5120925999999999</v>
      </c>
      <c r="E25">
        <v>120.29077536023604</v>
      </c>
      <c r="F25">
        <v>12</v>
      </c>
      <c r="G25" s="1">
        <f t="shared" si="2"/>
        <v>108.29077536023604</v>
      </c>
      <c r="H25" s="1">
        <f t="shared" si="0"/>
        <v>108.2902224</v>
      </c>
      <c r="I25" s="2">
        <f t="shared" si="3"/>
        <v>5.5296023603546018E-4</v>
      </c>
      <c r="J25">
        <f t="shared" si="1"/>
        <v>26</v>
      </c>
    </row>
    <row r="26" spans="2:10" x14ac:dyDescent="0.35">
      <c r="B26">
        <v>27</v>
      </c>
      <c r="C26">
        <v>12.00063966870084</v>
      </c>
      <c r="D26">
        <v>4.0056599999999998</v>
      </c>
      <c r="E26">
        <v>108.13647966870083</v>
      </c>
      <c r="F26">
        <v>12</v>
      </c>
      <c r="G26" s="1">
        <f t="shared" si="2"/>
        <v>96.136479668700829</v>
      </c>
      <c r="H26" s="1">
        <f t="shared" si="0"/>
        <v>96.135840000000002</v>
      </c>
      <c r="I26" s="2">
        <f t="shared" si="3"/>
        <v>6.3966870082765581E-4</v>
      </c>
      <c r="J26">
        <f t="shared" si="1"/>
        <v>27</v>
      </c>
    </row>
    <row r="27" spans="2:10" x14ac:dyDescent="0.35">
      <c r="B27">
        <v>28</v>
      </c>
      <c r="C27">
        <v>12.000522814047876</v>
      </c>
      <c r="D27">
        <v>3.0698173000000004</v>
      </c>
      <c r="E27">
        <v>85.676138014047865</v>
      </c>
      <c r="F27">
        <v>12</v>
      </c>
      <c r="G27" s="1">
        <f t="shared" si="2"/>
        <v>73.676138014047865</v>
      </c>
      <c r="H27" s="1">
        <f t="shared" si="0"/>
        <v>73.67561520000001</v>
      </c>
      <c r="I27" s="2">
        <f t="shared" si="3"/>
        <v>5.2281404785503582E-4</v>
      </c>
      <c r="J27">
        <f t="shared" si="1"/>
        <v>28</v>
      </c>
    </row>
    <row r="28" spans="2:10" x14ac:dyDescent="0.35">
      <c r="B28">
        <v>28</v>
      </c>
      <c r="C28">
        <v>12.000358091308383</v>
      </c>
      <c r="D28">
        <v>6.8190093000000003</v>
      </c>
      <c r="E28">
        <v>175.65658129130841</v>
      </c>
      <c r="F28">
        <v>12</v>
      </c>
      <c r="G28" s="1">
        <f t="shared" si="2"/>
        <v>163.65658129130841</v>
      </c>
      <c r="H28" s="1">
        <f t="shared" si="0"/>
        <v>163.6562232</v>
      </c>
      <c r="I28" s="2">
        <f t="shared" si="3"/>
        <v>3.5809130841357728E-4</v>
      </c>
      <c r="J28">
        <f t="shared" si="1"/>
        <v>28</v>
      </c>
    </row>
    <row r="29" spans="2:10" x14ac:dyDescent="0.35">
      <c r="B29">
        <v>29</v>
      </c>
      <c r="C29">
        <v>12.001213449036699</v>
      </c>
      <c r="D29">
        <v>3.2368310000000005</v>
      </c>
      <c r="E29">
        <v>89.685157449036694</v>
      </c>
      <c r="F29">
        <v>12.000522814047876</v>
      </c>
      <c r="G29" s="1">
        <f t="shared" si="2"/>
        <v>77.684634634988811</v>
      </c>
      <c r="H29" s="1">
        <f t="shared" si="0"/>
        <v>77.683944000000011</v>
      </c>
      <c r="I29" s="2">
        <f t="shared" si="3"/>
        <v>6.9063498879984309E-4</v>
      </c>
      <c r="J29">
        <f t="shared" si="1"/>
        <v>29</v>
      </c>
    </row>
    <row r="30" spans="2:10" x14ac:dyDescent="0.35">
      <c r="B30">
        <v>30</v>
      </c>
      <c r="C30">
        <v>12.001155254924193</v>
      </c>
      <c r="D30">
        <v>3.5848519999999997</v>
      </c>
      <c r="E30">
        <v>98.037603254924193</v>
      </c>
      <c r="F30">
        <v>12.000552960236048</v>
      </c>
      <c r="G30" s="1">
        <f t="shared" si="2"/>
        <v>86.037050294688143</v>
      </c>
      <c r="H30" s="1">
        <f t="shared" si="0"/>
        <v>86.036447999999993</v>
      </c>
      <c r="I30" s="2">
        <f t="shared" si="3"/>
        <v>6.0229468815009568E-4</v>
      </c>
      <c r="J30">
        <f t="shared" si="1"/>
        <v>30</v>
      </c>
    </row>
    <row r="31" spans="2:10" x14ac:dyDescent="0.35">
      <c r="B31">
        <v>31</v>
      </c>
      <c r="C31">
        <v>12.001142965381689</v>
      </c>
      <c r="D31">
        <v>2.2056420000000001</v>
      </c>
      <c r="E31">
        <v>64.936550965381684</v>
      </c>
      <c r="F31">
        <v>12.00063966870084</v>
      </c>
      <c r="G31" s="1">
        <f t="shared" si="2"/>
        <v>52.935911296680842</v>
      </c>
      <c r="H31" s="1">
        <f t="shared" si="0"/>
        <v>52.935408000000002</v>
      </c>
      <c r="I31" s="2">
        <f t="shared" si="3"/>
        <v>5.0329668084003742E-4</v>
      </c>
      <c r="J31">
        <f t="shared" si="1"/>
        <v>31</v>
      </c>
    </row>
    <row r="32" spans="2:10" x14ac:dyDescent="0.35">
      <c r="B32">
        <v>32</v>
      </c>
      <c r="C32">
        <v>12.001312305305502</v>
      </c>
      <c r="D32">
        <v>1.7154639</v>
      </c>
      <c r="E32">
        <v>53.172445905305501</v>
      </c>
      <c r="F32">
        <v>12.000662968574336</v>
      </c>
      <c r="G32" s="1">
        <f t="shared" si="2"/>
        <v>41.171782936731162</v>
      </c>
      <c r="H32" s="1">
        <f t="shared" si="0"/>
        <v>41.171133600000005</v>
      </c>
      <c r="I32" s="2">
        <f t="shared" si="3"/>
        <v>6.4933673115774582E-4</v>
      </c>
      <c r="J32">
        <f t="shared" si="1"/>
        <v>32</v>
      </c>
    </row>
    <row r="33" spans="2:10" x14ac:dyDescent="0.35">
      <c r="B33">
        <v>32</v>
      </c>
      <c r="C33">
        <v>12.001068826489121</v>
      </c>
      <c r="D33">
        <v>9.6023244999999999</v>
      </c>
      <c r="E33">
        <v>242.45685682648914</v>
      </c>
      <c r="F33">
        <v>12.000510663488681</v>
      </c>
      <c r="G33" s="1">
        <f t="shared" si="2"/>
        <v>230.45634616300046</v>
      </c>
      <c r="H33" s="1">
        <f t="shared" si="0"/>
        <v>230.45578799999998</v>
      </c>
      <c r="I33" s="2">
        <f t="shared" si="3"/>
        <v>5.5816300047695222E-4</v>
      </c>
      <c r="J33">
        <f t="shared" si="1"/>
        <v>32</v>
      </c>
    </row>
    <row r="34" spans="2:10" x14ac:dyDescent="0.35">
      <c r="B34">
        <v>33</v>
      </c>
      <c r="C34">
        <v>12.001389340119388</v>
      </c>
      <c r="D34">
        <v>5.2438773999999997</v>
      </c>
      <c r="E34">
        <v>137.85444694011937</v>
      </c>
      <c r="F34">
        <v>12.000747755723735</v>
      </c>
      <c r="G34" s="1">
        <f t="shared" si="2"/>
        <v>125.85369918439564</v>
      </c>
      <c r="H34" s="1">
        <f t="shared" si="0"/>
        <v>125.8530576</v>
      </c>
      <c r="I34" s="2">
        <f t="shared" si="3"/>
        <v>6.415843956375511E-4</v>
      </c>
      <c r="J34">
        <f t="shared" si="1"/>
        <v>33</v>
      </c>
    </row>
    <row r="35" spans="2:10" x14ac:dyDescent="0.35">
      <c r="B35">
        <v>34</v>
      </c>
      <c r="C35">
        <v>12.001659925378696</v>
      </c>
      <c r="D35">
        <v>3.7751520000000003</v>
      </c>
      <c r="E35">
        <v>102.6053079253787</v>
      </c>
      <c r="F35">
        <v>12.001142965381689</v>
      </c>
      <c r="G35" s="1">
        <f t="shared" si="2"/>
        <v>90.604164959997007</v>
      </c>
      <c r="H35" s="1">
        <f t="shared" si="0"/>
        <v>90.603648000000007</v>
      </c>
      <c r="I35" s="2">
        <f t="shared" si="3"/>
        <v>5.1695999700029915E-4</v>
      </c>
      <c r="J35">
        <f t="shared" si="1"/>
        <v>34</v>
      </c>
    </row>
    <row r="36" spans="2:10" x14ac:dyDescent="0.35">
      <c r="B36">
        <v>35</v>
      </c>
      <c r="C36">
        <v>12.001601931804569</v>
      </c>
      <c r="D36">
        <v>5.1851070000000004</v>
      </c>
      <c r="E36">
        <v>136.44416993180457</v>
      </c>
      <c r="F36">
        <v>12.001155254924193</v>
      </c>
      <c r="G36" s="1">
        <f t="shared" si="2"/>
        <v>124.44301467688038</v>
      </c>
      <c r="H36" s="1">
        <f t="shared" si="0"/>
        <v>124.44256800000001</v>
      </c>
      <c r="I36" s="2">
        <f t="shared" si="3"/>
        <v>4.466768803723653E-4</v>
      </c>
      <c r="J36">
        <f t="shared" si="1"/>
        <v>35</v>
      </c>
    </row>
    <row r="37" spans="2:10" x14ac:dyDescent="0.35">
      <c r="B37">
        <v>36</v>
      </c>
      <c r="C37">
        <v>12.001523773144857</v>
      </c>
      <c r="D37">
        <v>5.2492470000000004</v>
      </c>
      <c r="E37">
        <v>137.98345177314488</v>
      </c>
      <c r="F37">
        <v>12.001213449036699</v>
      </c>
      <c r="G37" s="1">
        <f t="shared" si="2"/>
        <v>125.98223832410818</v>
      </c>
      <c r="H37" s="1">
        <f t="shared" si="0"/>
        <v>125.98192800000001</v>
      </c>
      <c r="I37" s="2">
        <f t="shared" si="3"/>
        <v>3.1032410817033451E-4</v>
      </c>
      <c r="J37">
        <f t="shared" si="1"/>
        <v>36</v>
      </c>
    </row>
    <row r="38" spans="2:10" x14ac:dyDescent="0.35">
      <c r="B38">
        <v>37</v>
      </c>
      <c r="C38">
        <v>12.001826207906911</v>
      </c>
      <c r="D38">
        <v>5.8037850000000004</v>
      </c>
      <c r="E38">
        <v>151.2926662079069</v>
      </c>
      <c r="F38">
        <v>12.001312305305502</v>
      </c>
      <c r="G38" s="1">
        <f t="shared" si="2"/>
        <v>139.2913539026014</v>
      </c>
      <c r="H38" s="1">
        <f t="shared" si="0"/>
        <v>139.29084</v>
      </c>
      <c r="I38" s="2">
        <f t="shared" si="3"/>
        <v>5.1390260139783095E-4</v>
      </c>
      <c r="J38">
        <f t="shared" si="1"/>
        <v>37</v>
      </c>
    </row>
    <row r="39" spans="2:10" x14ac:dyDescent="0.35">
      <c r="B39">
        <v>38</v>
      </c>
      <c r="C39">
        <v>12.00200283768897</v>
      </c>
      <c r="D39">
        <v>0.9789987</v>
      </c>
      <c r="E39">
        <v>35.49797163768897</v>
      </c>
      <c r="F39">
        <v>12.001389340119388</v>
      </c>
      <c r="G39" s="1">
        <f t="shared" si="2"/>
        <v>23.496582297569581</v>
      </c>
      <c r="H39" s="1">
        <f t="shared" si="0"/>
        <v>23.4959688</v>
      </c>
      <c r="I39" s="2">
        <f t="shared" si="3"/>
        <v>6.1349756958151147E-4</v>
      </c>
      <c r="J39">
        <f t="shared" si="1"/>
        <v>38</v>
      </c>
    </row>
    <row r="40" spans="2:10" x14ac:dyDescent="0.35">
      <c r="B40">
        <v>39</v>
      </c>
      <c r="C40">
        <v>12.00191549180977</v>
      </c>
      <c r="D40">
        <v>1.9300002000000003</v>
      </c>
      <c r="E40">
        <v>58.321920291809768</v>
      </c>
      <c r="F40">
        <v>12.001523773144857</v>
      </c>
      <c r="G40" s="1">
        <f t="shared" si="2"/>
        <v>46.320396518664907</v>
      </c>
      <c r="H40" s="1">
        <f t="shared" si="0"/>
        <v>46.320004800000007</v>
      </c>
      <c r="I40" s="2">
        <f t="shared" si="3"/>
        <v>3.9171866490050888E-4</v>
      </c>
      <c r="J40">
        <f t="shared" si="1"/>
        <v>39</v>
      </c>
    </row>
    <row r="41" spans="2:10" x14ac:dyDescent="0.35">
      <c r="B41">
        <v>40</v>
      </c>
      <c r="C41">
        <v>12.002097928225547</v>
      </c>
      <c r="D41">
        <v>2.4148247</v>
      </c>
      <c r="E41">
        <v>69.95789072822555</v>
      </c>
      <c r="F41">
        <v>12.001601931804569</v>
      </c>
      <c r="G41" s="1">
        <f t="shared" si="2"/>
        <v>57.956288796420978</v>
      </c>
      <c r="H41" s="1">
        <f t="shared" si="0"/>
        <v>57.955792799999998</v>
      </c>
      <c r="I41" s="2">
        <f t="shared" si="3"/>
        <v>4.9599642098030472E-4</v>
      </c>
      <c r="J41">
        <f t="shared" si="1"/>
        <v>40</v>
      </c>
    </row>
    <row r="42" spans="2:10" x14ac:dyDescent="0.35">
      <c r="B42">
        <v>41</v>
      </c>
      <c r="C42">
        <v>12.002244503464929</v>
      </c>
      <c r="D42">
        <v>4.6225839999999998</v>
      </c>
      <c r="E42">
        <v>122.94426050346493</v>
      </c>
      <c r="F42">
        <v>12.001659925378696</v>
      </c>
      <c r="G42" s="1">
        <f t="shared" si="2"/>
        <v>110.94260057808623</v>
      </c>
      <c r="H42" s="1">
        <f t="shared" si="0"/>
        <v>110.942016</v>
      </c>
      <c r="I42" s="2">
        <f t="shared" si="3"/>
        <v>5.8457808623302299E-4</v>
      </c>
      <c r="J42">
        <f t="shared" si="1"/>
        <v>41</v>
      </c>
    </row>
    <row r="43" spans="2:10" x14ac:dyDescent="0.35">
      <c r="B43">
        <v>42</v>
      </c>
      <c r="C43">
        <v>12.002133733251707</v>
      </c>
      <c r="D43">
        <v>1.0535000000000001</v>
      </c>
      <c r="E43">
        <v>37.28613373325171</v>
      </c>
      <c r="F43">
        <v>12.001826207906911</v>
      </c>
      <c r="G43" s="1">
        <f t="shared" si="2"/>
        <v>25.284307525344801</v>
      </c>
      <c r="H43" s="1">
        <f t="shared" si="0"/>
        <v>25.284000000000002</v>
      </c>
      <c r="I43" s="2">
        <f t="shared" si="3"/>
        <v>3.0752534479816518E-4</v>
      </c>
      <c r="J43">
        <f t="shared" si="1"/>
        <v>42</v>
      </c>
    </row>
    <row r="44" spans="2:10" x14ac:dyDescent="0.35">
      <c r="B44">
        <v>43</v>
      </c>
      <c r="C44">
        <v>12.00260606982795</v>
      </c>
      <c r="D44">
        <v>1.0332053999999999</v>
      </c>
      <c r="E44">
        <v>36.799535669827947</v>
      </c>
      <c r="F44">
        <v>12.00191549180977</v>
      </c>
      <c r="G44" s="1">
        <f t="shared" si="2"/>
        <v>24.797620178018178</v>
      </c>
      <c r="H44" s="1">
        <f t="shared" si="0"/>
        <v>24.796929599999999</v>
      </c>
      <c r="I44" s="2">
        <f t="shared" si="3"/>
        <v>6.9057801817962172E-4</v>
      </c>
      <c r="J44">
        <f t="shared" si="1"/>
        <v>43</v>
      </c>
    </row>
    <row r="45" spans="2:10" x14ac:dyDescent="0.35">
      <c r="B45">
        <v>44</v>
      </c>
      <c r="C45">
        <v>12.002605849164539</v>
      </c>
      <c r="D45">
        <v>4.8507423000000003</v>
      </c>
      <c r="E45">
        <v>128.42042104916453</v>
      </c>
      <c r="F45">
        <v>12.00200283768897</v>
      </c>
      <c r="G45" s="1">
        <f t="shared" si="2"/>
        <v>116.41841821147557</v>
      </c>
      <c r="H45" s="1">
        <f t="shared" si="0"/>
        <v>116.41781520000001</v>
      </c>
      <c r="I45" s="2">
        <f t="shared" si="3"/>
        <v>6.0301147556174328E-4</v>
      </c>
      <c r="J45">
        <f t="shared" si="1"/>
        <v>44</v>
      </c>
    </row>
    <row r="46" spans="2:10" x14ac:dyDescent="0.35">
      <c r="B46">
        <v>45</v>
      </c>
      <c r="C46">
        <v>12.002686866936509</v>
      </c>
      <c r="D46">
        <v>1.0111505000000003</v>
      </c>
      <c r="E46">
        <v>36.270298866936507</v>
      </c>
      <c r="F46">
        <v>12.002097928225547</v>
      </c>
      <c r="G46" s="1">
        <f t="shared" si="2"/>
        <v>24.268200938710962</v>
      </c>
      <c r="H46" s="1">
        <f t="shared" si="0"/>
        <v>24.267612000000007</v>
      </c>
      <c r="I46" s="2">
        <f t="shared" si="3"/>
        <v>5.8893871095477834E-4</v>
      </c>
      <c r="J46">
        <f t="shared" si="1"/>
        <v>45</v>
      </c>
    </row>
    <row r="47" spans="2:10" x14ac:dyDescent="0.35">
      <c r="B47">
        <v>46</v>
      </c>
      <c r="C47">
        <v>12.002756690893175</v>
      </c>
      <c r="D47">
        <v>2.7957491999999999</v>
      </c>
      <c r="E47">
        <v>79.100737490893181</v>
      </c>
      <c r="F47">
        <v>12.002133733251707</v>
      </c>
      <c r="G47" s="1">
        <f t="shared" si="2"/>
        <v>67.09860375764147</v>
      </c>
      <c r="H47" s="1">
        <f t="shared" si="0"/>
        <v>67.097980800000002</v>
      </c>
      <c r="I47" s="2">
        <f t="shared" si="3"/>
        <v>6.2295764146824695E-4</v>
      </c>
      <c r="J47">
        <f t="shared" si="1"/>
        <v>46</v>
      </c>
    </row>
    <row r="48" spans="2:10" x14ac:dyDescent="0.35">
      <c r="B48">
        <v>47</v>
      </c>
      <c r="C48">
        <v>12.002789665443942</v>
      </c>
      <c r="D48">
        <v>3.9855607000000006</v>
      </c>
      <c r="E48">
        <v>107.65624646544394</v>
      </c>
      <c r="F48">
        <v>12.002244503464929</v>
      </c>
      <c r="G48" s="1">
        <f t="shared" si="2"/>
        <v>95.65400196197902</v>
      </c>
      <c r="H48" s="1">
        <f t="shared" si="0"/>
        <v>95.653456800000015</v>
      </c>
      <c r="I48" s="2">
        <f t="shared" si="3"/>
        <v>5.4516197900511543E-4</v>
      </c>
      <c r="J48">
        <f t="shared" si="1"/>
        <v>47</v>
      </c>
    </row>
    <row r="49" spans="2:10" x14ac:dyDescent="0.35">
      <c r="B49">
        <v>49</v>
      </c>
      <c r="C49">
        <v>12.003133925227468</v>
      </c>
      <c r="D49">
        <v>5.2827023999999998</v>
      </c>
      <c r="E49">
        <v>138.78799152522745</v>
      </c>
      <c r="F49">
        <v>12.00260606982795</v>
      </c>
      <c r="G49" s="1">
        <f t="shared" si="2"/>
        <v>126.78538545539951</v>
      </c>
      <c r="H49" s="1">
        <f t="shared" si="0"/>
        <v>126.7848576</v>
      </c>
      <c r="I49" s="2">
        <f t="shared" si="3"/>
        <v>5.2785539951116789E-4</v>
      </c>
      <c r="J49">
        <f t="shared" si="1"/>
        <v>49</v>
      </c>
    </row>
    <row r="50" spans="2:10" x14ac:dyDescent="0.35">
      <c r="B50">
        <v>50</v>
      </c>
      <c r="C50">
        <v>12.003110895260109</v>
      </c>
      <c r="D50">
        <v>1.3377780000000001</v>
      </c>
      <c r="E50">
        <v>44.109782895260103</v>
      </c>
      <c r="F50">
        <v>12.002686866936509</v>
      </c>
      <c r="G50" s="1">
        <f t="shared" si="2"/>
        <v>32.107096028323596</v>
      </c>
      <c r="H50" s="1">
        <f t="shared" si="0"/>
        <v>32.106672000000003</v>
      </c>
      <c r="I50" s="2">
        <f t="shared" si="3"/>
        <v>4.2402832359300646E-4</v>
      </c>
      <c r="J50">
        <f t="shared" si="1"/>
        <v>50</v>
      </c>
    </row>
    <row r="51" spans="2:10" x14ac:dyDescent="0.35">
      <c r="B51">
        <v>51</v>
      </c>
      <c r="C51">
        <v>12.00333566416125</v>
      </c>
      <c r="D51">
        <v>2.9839112999999999</v>
      </c>
      <c r="E51">
        <v>83.617206864161261</v>
      </c>
      <c r="F51">
        <v>12.002756690893175</v>
      </c>
      <c r="G51" s="1">
        <f t="shared" si="2"/>
        <v>71.614450173268082</v>
      </c>
      <c r="H51" s="1">
        <f t="shared" si="0"/>
        <v>71.613871200000006</v>
      </c>
      <c r="I51" s="2">
        <f t="shared" si="3"/>
        <v>5.7897326807676563E-4</v>
      </c>
      <c r="J51">
        <f t="shared" si="1"/>
        <v>51</v>
      </c>
    </row>
    <row r="52" spans="2:10" x14ac:dyDescent="0.35">
      <c r="B52">
        <v>52</v>
      </c>
      <c r="C52">
        <v>12.003349808396635</v>
      </c>
      <c r="D52">
        <v>1.9811421999999999</v>
      </c>
      <c r="E52">
        <v>59.550762608396639</v>
      </c>
      <c r="F52">
        <v>12.002789665443942</v>
      </c>
      <c r="G52" s="1">
        <f t="shared" si="2"/>
        <v>47.547972942952697</v>
      </c>
      <c r="H52" s="1">
        <f t="shared" si="0"/>
        <v>47.547412799999996</v>
      </c>
      <c r="I52" s="2">
        <f t="shared" si="3"/>
        <v>5.6014295270045977E-4</v>
      </c>
      <c r="J52">
        <f t="shared" si="1"/>
        <v>52</v>
      </c>
    </row>
    <row r="53" spans="2:10" x14ac:dyDescent="0.35">
      <c r="B53">
        <v>53</v>
      </c>
      <c r="C53">
        <v>12.003547278435052</v>
      </c>
      <c r="D53">
        <v>3.5321648000000003</v>
      </c>
      <c r="E53">
        <v>96.775502478435058</v>
      </c>
      <c r="F53">
        <v>12.003110895260109</v>
      </c>
      <c r="G53" s="1">
        <f t="shared" si="2"/>
        <v>84.772391583174951</v>
      </c>
      <c r="H53" s="1">
        <f t="shared" si="0"/>
        <v>84.771955200000008</v>
      </c>
      <c r="I53" s="2">
        <f t="shared" si="3"/>
        <v>4.3638317494298917E-4</v>
      </c>
      <c r="J53">
        <f t="shared" si="1"/>
        <v>53</v>
      </c>
    </row>
    <row r="54" spans="2:10" x14ac:dyDescent="0.35">
      <c r="B54">
        <v>54</v>
      </c>
      <c r="C54">
        <v>17.000380248157722</v>
      </c>
      <c r="D54">
        <v>1.0251185</v>
      </c>
      <c r="E54">
        <v>41.603224248157723</v>
      </c>
      <c r="F54">
        <v>17</v>
      </c>
      <c r="G54" s="1">
        <f t="shared" si="2"/>
        <v>24.603224248157723</v>
      </c>
      <c r="H54" s="1">
        <f t="shared" si="0"/>
        <v>24.602844000000001</v>
      </c>
      <c r="I54" s="2">
        <f t="shared" si="3"/>
        <v>3.8024815772175202E-4</v>
      </c>
      <c r="J54">
        <f t="shared" si="1"/>
        <v>54</v>
      </c>
    </row>
    <row r="55" spans="2:10" x14ac:dyDescent="0.35">
      <c r="B55">
        <v>55</v>
      </c>
      <c r="C55">
        <v>17.00037519266953</v>
      </c>
      <c r="D55">
        <v>4.6103579999999997</v>
      </c>
      <c r="E55">
        <v>127.64896719266952</v>
      </c>
      <c r="F55">
        <v>17</v>
      </c>
      <c r="G55" s="1">
        <f t="shared" si="2"/>
        <v>110.64896719266952</v>
      </c>
      <c r="H55" s="1">
        <f t="shared" si="0"/>
        <v>110.64859199999999</v>
      </c>
      <c r="I55" s="2">
        <f t="shared" si="3"/>
        <v>3.7519266952301678E-4</v>
      </c>
      <c r="J55">
        <f t="shared" si="1"/>
        <v>55</v>
      </c>
    </row>
    <row r="56" spans="2:10" x14ac:dyDescent="0.35">
      <c r="B56">
        <v>56</v>
      </c>
      <c r="C56">
        <v>17.000706381896407</v>
      </c>
      <c r="D56">
        <v>2.7413487000000001</v>
      </c>
      <c r="E56">
        <v>82.793075181896413</v>
      </c>
      <c r="F56">
        <v>17</v>
      </c>
      <c r="G56" s="1">
        <f t="shared" si="2"/>
        <v>65.793075181896413</v>
      </c>
      <c r="H56" s="1">
        <f t="shared" si="0"/>
        <v>65.792368800000006</v>
      </c>
      <c r="I56" s="2">
        <f t="shared" si="3"/>
        <v>7.0638189640703786E-4</v>
      </c>
      <c r="J56">
        <f t="shared" si="1"/>
        <v>56</v>
      </c>
    </row>
    <row r="57" spans="2:10" x14ac:dyDescent="0.35">
      <c r="B57">
        <v>58</v>
      </c>
      <c r="C57">
        <v>17.000625514946371</v>
      </c>
      <c r="D57">
        <v>4.6143764999999997</v>
      </c>
      <c r="E57">
        <v>127.74566151494636</v>
      </c>
      <c r="F57">
        <v>17</v>
      </c>
      <c r="G57" s="1">
        <f t="shared" si="2"/>
        <v>110.74566151494636</v>
      </c>
      <c r="H57" s="1">
        <f t="shared" si="0"/>
        <v>110.745036</v>
      </c>
      <c r="I57" s="2">
        <f t="shared" si="3"/>
        <v>6.2551494636409188E-4</v>
      </c>
      <c r="J57">
        <f t="shared" si="1"/>
        <v>58</v>
      </c>
    </row>
    <row r="58" spans="2:10" x14ac:dyDescent="0.35">
      <c r="B58">
        <v>58</v>
      </c>
      <c r="C58">
        <v>17.000479318094477</v>
      </c>
      <c r="D58">
        <v>8.0106859999999998</v>
      </c>
      <c r="E58">
        <v>209.25694331809444</v>
      </c>
      <c r="F58">
        <v>17</v>
      </c>
      <c r="G58" s="1">
        <f t="shared" si="2"/>
        <v>192.25694331809444</v>
      </c>
      <c r="H58" s="1">
        <f t="shared" si="0"/>
        <v>192.25646399999999</v>
      </c>
      <c r="I58" s="2">
        <f t="shared" si="3"/>
        <v>4.793180944488995E-4</v>
      </c>
      <c r="J58">
        <f t="shared" si="1"/>
        <v>58</v>
      </c>
    </row>
    <row r="59" spans="2:10" x14ac:dyDescent="0.35">
      <c r="B59">
        <v>59</v>
      </c>
      <c r="C59">
        <v>17.000794221689453</v>
      </c>
      <c r="D59">
        <v>4.5701437</v>
      </c>
      <c r="E59">
        <v>126.68424302168944</v>
      </c>
      <c r="F59">
        <v>17.00037519266953</v>
      </c>
      <c r="G59" s="1">
        <f t="shared" si="2"/>
        <v>109.6838678290199</v>
      </c>
      <c r="H59" s="1">
        <f t="shared" si="0"/>
        <v>109.68344880000001</v>
      </c>
      <c r="I59" s="2">
        <f t="shared" si="3"/>
        <v>4.1902901989487873E-4</v>
      </c>
      <c r="J59">
        <f t="shared" si="1"/>
        <v>59</v>
      </c>
    </row>
    <row r="60" spans="2:10" x14ac:dyDescent="0.35">
      <c r="B60">
        <v>60</v>
      </c>
      <c r="C60">
        <v>17.000890538337934</v>
      </c>
      <c r="D60">
        <v>4.2730649999999999</v>
      </c>
      <c r="E60">
        <v>119.55445053833793</v>
      </c>
      <c r="F60">
        <v>17.000378087468789</v>
      </c>
      <c r="G60" s="1">
        <f t="shared" si="2"/>
        <v>102.55407245086914</v>
      </c>
      <c r="H60" s="1">
        <f t="shared" si="0"/>
        <v>102.55356</v>
      </c>
      <c r="I60" s="2">
        <f t="shared" si="3"/>
        <v>5.1245086913809246E-4</v>
      </c>
      <c r="J60">
        <f t="shared" si="1"/>
        <v>60</v>
      </c>
    </row>
    <row r="61" spans="2:10" x14ac:dyDescent="0.35">
      <c r="B61">
        <v>61</v>
      </c>
      <c r="C61">
        <v>17.00103079842189</v>
      </c>
      <c r="D61">
        <v>4.377148</v>
      </c>
      <c r="E61">
        <v>122.05258279842189</v>
      </c>
      <c r="F61">
        <v>17.000380248157722</v>
      </c>
      <c r="G61" s="1">
        <f t="shared" si="2"/>
        <v>105.05220255026417</v>
      </c>
      <c r="H61" s="1">
        <f t="shared" si="0"/>
        <v>105.051552</v>
      </c>
      <c r="I61" s="2">
        <f t="shared" si="3"/>
        <v>6.5055026416871442E-4</v>
      </c>
      <c r="J61">
        <f t="shared" si="1"/>
        <v>61</v>
      </c>
    </row>
    <row r="62" spans="2:10" x14ac:dyDescent="0.35">
      <c r="B62">
        <v>63</v>
      </c>
      <c r="C62">
        <v>17.001241621890767</v>
      </c>
      <c r="D62">
        <v>1.2565466999999999</v>
      </c>
      <c r="E62">
        <v>47.158362421890764</v>
      </c>
      <c r="F62">
        <v>17.000706381896407</v>
      </c>
      <c r="G62" s="1">
        <f t="shared" si="2"/>
        <v>30.157656039994357</v>
      </c>
      <c r="H62" s="1">
        <f t="shared" si="0"/>
        <v>30.157120799999998</v>
      </c>
      <c r="I62" s="2">
        <f t="shared" si="3"/>
        <v>5.3523999435967085E-4</v>
      </c>
      <c r="J62">
        <f t="shared" si="1"/>
        <v>63</v>
      </c>
    </row>
    <row r="63" spans="2:10" x14ac:dyDescent="0.35">
      <c r="B63">
        <v>64</v>
      </c>
      <c r="C63">
        <v>17.001426026337427</v>
      </c>
      <c r="D63">
        <v>3.1445959999999999</v>
      </c>
      <c r="E63">
        <v>92.471730026337426</v>
      </c>
      <c r="F63">
        <v>17.000794221689453</v>
      </c>
      <c r="G63" s="1">
        <f t="shared" si="2"/>
        <v>75.470935804647979</v>
      </c>
      <c r="H63" s="1">
        <f t="shared" si="0"/>
        <v>75.470303999999999</v>
      </c>
      <c r="I63" s="2">
        <f t="shared" si="3"/>
        <v>6.3180464798051617E-4</v>
      </c>
      <c r="J63">
        <f t="shared" si="1"/>
        <v>64</v>
      </c>
    </row>
    <row r="64" spans="2:10" x14ac:dyDescent="0.35">
      <c r="B64">
        <v>65</v>
      </c>
      <c r="C64">
        <v>17.001561530960718</v>
      </c>
      <c r="D64">
        <v>3.4635281999999998</v>
      </c>
      <c r="E64">
        <v>100.12623833096072</v>
      </c>
      <c r="F64">
        <v>17.000890538337934</v>
      </c>
      <c r="G64" s="1">
        <f t="shared" si="2"/>
        <v>83.12534779262279</v>
      </c>
      <c r="H64" s="1">
        <f t="shared" si="0"/>
        <v>83.124676800000003</v>
      </c>
      <c r="I64" s="2">
        <f t="shared" si="3"/>
        <v>6.7099262278702554E-4</v>
      </c>
      <c r="J64">
        <f t="shared" si="1"/>
        <v>65</v>
      </c>
    </row>
    <row r="65" spans="2:10" x14ac:dyDescent="0.35">
      <c r="B65">
        <v>66</v>
      </c>
      <c r="C65">
        <v>17.001811006236352</v>
      </c>
      <c r="D65">
        <v>3.8449378000000003</v>
      </c>
      <c r="E65">
        <v>109.28031820623634</v>
      </c>
      <c r="F65">
        <v>17.00103079842189</v>
      </c>
      <c r="G65" s="1">
        <f t="shared" si="2"/>
        <v>92.279287407814451</v>
      </c>
      <c r="H65" s="1">
        <f t="shared" si="0"/>
        <v>92.278507200000007</v>
      </c>
      <c r="I65" s="2">
        <f t="shared" si="3"/>
        <v>7.8020781444365639E-4</v>
      </c>
      <c r="J65">
        <f t="shared" si="1"/>
        <v>66</v>
      </c>
    </row>
    <row r="66" spans="2:10" x14ac:dyDescent="0.35">
      <c r="B66">
        <v>67</v>
      </c>
      <c r="C66">
        <v>17.001866679578225</v>
      </c>
      <c r="D66">
        <v>4.3196789999999998</v>
      </c>
      <c r="E66">
        <v>120.67416267957822</v>
      </c>
      <c r="F66">
        <v>17.001241621890767</v>
      </c>
      <c r="G66" s="1">
        <f t="shared" si="2"/>
        <v>103.67292105768745</v>
      </c>
      <c r="H66" s="1">
        <f t="shared" ref="H66:H129" si="4">D66*24</f>
        <v>103.67229599999999</v>
      </c>
      <c r="I66" s="2">
        <f t="shared" si="3"/>
        <v>6.2505768745779733E-4</v>
      </c>
      <c r="J66">
        <f t="shared" ref="J66:J129" si="5">B66</f>
        <v>67</v>
      </c>
    </row>
    <row r="67" spans="2:10" x14ac:dyDescent="0.35">
      <c r="B67">
        <v>68</v>
      </c>
      <c r="C67">
        <v>17.001941176111558</v>
      </c>
      <c r="D67">
        <v>1.6876688</v>
      </c>
      <c r="E67">
        <v>57.505992376111557</v>
      </c>
      <c r="F67">
        <v>17.001251741828138</v>
      </c>
      <c r="G67" s="1">
        <f t="shared" ref="G67:G130" si="6">E67-F67</f>
        <v>40.504740634283422</v>
      </c>
      <c r="H67" s="1">
        <f t="shared" si="4"/>
        <v>40.504051199999999</v>
      </c>
      <c r="I67" s="2">
        <f t="shared" ref="I67:I130" si="7">G67-H67</f>
        <v>6.8943428342294055E-4</v>
      </c>
      <c r="J67">
        <f t="shared" si="5"/>
        <v>68</v>
      </c>
    </row>
    <row r="68" spans="2:10" x14ac:dyDescent="0.35">
      <c r="B68">
        <v>69</v>
      </c>
      <c r="C68">
        <v>17.002039637334875</v>
      </c>
      <c r="D68">
        <v>5.5737996000000001</v>
      </c>
      <c r="E68">
        <v>150.77323003733488</v>
      </c>
      <c r="F68">
        <v>17.001426026337427</v>
      </c>
      <c r="G68" s="1">
        <f t="shared" si="6"/>
        <v>133.77180401099747</v>
      </c>
      <c r="H68" s="1">
        <f t="shared" si="4"/>
        <v>133.77119039999999</v>
      </c>
      <c r="I68" s="2">
        <f t="shared" si="7"/>
        <v>6.1361099747614389E-4</v>
      </c>
      <c r="J68">
        <f t="shared" si="5"/>
        <v>69</v>
      </c>
    </row>
    <row r="69" spans="2:10" x14ac:dyDescent="0.35">
      <c r="B69">
        <v>69</v>
      </c>
      <c r="C69">
        <v>17.00215996077204</v>
      </c>
      <c r="D69">
        <v>8.162782</v>
      </c>
      <c r="E69">
        <v>212.90892796077205</v>
      </c>
      <c r="F69">
        <v>17.00157773454406</v>
      </c>
      <c r="G69" s="1">
        <f t="shared" si="6"/>
        <v>195.90735022622798</v>
      </c>
      <c r="H69" s="1">
        <f t="shared" si="4"/>
        <v>195.906768</v>
      </c>
      <c r="I69" s="2">
        <f t="shared" si="7"/>
        <v>5.8222622797643453E-4</v>
      </c>
      <c r="J69">
        <f t="shared" si="5"/>
        <v>69</v>
      </c>
    </row>
    <row r="70" spans="2:10" x14ac:dyDescent="0.35">
      <c r="B70">
        <v>70</v>
      </c>
      <c r="C70">
        <v>17.00210945627812</v>
      </c>
      <c r="D70">
        <v>0.9624486000000001</v>
      </c>
      <c r="E70">
        <v>40.100875856278122</v>
      </c>
      <c r="F70">
        <v>17.001561530960718</v>
      </c>
      <c r="G70" s="1">
        <f t="shared" si="6"/>
        <v>23.099314325317405</v>
      </c>
      <c r="H70" s="1">
        <f t="shared" si="4"/>
        <v>23.098766400000002</v>
      </c>
      <c r="I70" s="2">
        <f t="shared" si="7"/>
        <v>5.479253174023313E-4</v>
      </c>
      <c r="J70">
        <f t="shared" si="5"/>
        <v>70</v>
      </c>
    </row>
    <row r="71" spans="2:10" x14ac:dyDescent="0.35">
      <c r="B71">
        <v>71</v>
      </c>
      <c r="C71">
        <v>25.824068144180703</v>
      </c>
      <c r="D71">
        <v>4.3101950000000002</v>
      </c>
      <c r="E71">
        <v>129.26874814418071</v>
      </c>
      <c r="F71">
        <v>17.001811006236352</v>
      </c>
      <c r="G71" s="1">
        <f t="shared" si="6"/>
        <v>112.26693713794435</v>
      </c>
      <c r="H71" s="1">
        <f t="shared" si="4"/>
        <v>103.44468000000001</v>
      </c>
      <c r="I71" s="2">
        <f t="shared" si="7"/>
        <v>8.822257137944348</v>
      </c>
      <c r="J71">
        <f t="shared" si="5"/>
        <v>71</v>
      </c>
    </row>
    <row r="72" spans="2:10" x14ac:dyDescent="0.35">
      <c r="B72">
        <v>72</v>
      </c>
      <c r="C72">
        <v>17.002417166940823</v>
      </c>
      <c r="D72">
        <v>3.0557202999999999</v>
      </c>
      <c r="E72">
        <v>90.339704366940822</v>
      </c>
      <c r="F72">
        <v>17.001866679578225</v>
      </c>
      <c r="G72" s="1">
        <f t="shared" si="6"/>
        <v>73.337837687362594</v>
      </c>
      <c r="H72" s="1">
        <f t="shared" si="4"/>
        <v>73.337287199999992</v>
      </c>
      <c r="I72" s="2">
        <f t="shared" si="7"/>
        <v>5.5048736260232545E-4</v>
      </c>
      <c r="J72">
        <f t="shared" si="5"/>
        <v>72</v>
      </c>
    </row>
    <row r="73" spans="2:10" x14ac:dyDescent="0.35">
      <c r="B73">
        <v>72</v>
      </c>
      <c r="C73">
        <v>17.002125304746386</v>
      </c>
      <c r="D73">
        <v>8.0375110000000003</v>
      </c>
      <c r="E73">
        <v>209.90238930474638</v>
      </c>
      <c r="F73">
        <v>17.001689236489245</v>
      </c>
      <c r="G73" s="1">
        <f t="shared" si="6"/>
        <v>192.90070006825712</v>
      </c>
      <c r="H73" s="1">
        <f t="shared" si="4"/>
        <v>192.90026399999999</v>
      </c>
      <c r="I73" s="2">
        <f t="shared" si="7"/>
        <v>4.360682571302732E-4</v>
      </c>
      <c r="J73">
        <f t="shared" si="5"/>
        <v>72</v>
      </c>
    </row>
    <row r="74" spans="2:10" x14ac:dyDescent="0.35">
      <c r="B74">
        <v>73</v>
      </c>
      <c r="C74">
        <v>29.869693330447703</v>
      </c>
      <c r="D74">
        <v>4.9781740000000001</v>
      </c>
      <c r="E74">
        <v>149.34586933044773</v>
      </c>
      <c r="F74">
        <v>17.001941176111558</v>
      </c>
      <c r="G74" s="1">
        <f t="shared" si="6"/>
        <v>132.34392815433617</v>
      </c>
      <c r="H74" s="1">
        <f t="shared" si="4"/>
        <v>119.47617600000001</v>
      </c>
      <c r="I74" s="2">
        <f t="shared" si="7"/>
        <v>12.867752154336159</v>
      </c>
      <c r="J74">
        <f t="shared" si="5"/>
        <v>73</v>
      </c>
    </row>
    <row r="75" spans="2:10" x14ac:dyDescent="0.35">
      <c r="B75">
        <v>74</v>
      </c>
      <c r="C75">
        <v>36.799535669827947</v>
      </c>
      <c r="D75">
        <v>1.0197662999999997</v>
      </c>
      <c r="E75">
        <v>61.273926869827946</v>
      </c>
      <c r="F75">
        <v>24</v>
      </c>
      <c r="G75" s="1">
        <f t="shared" si="6"/>
        <v>37.273926869827946</v>
      </c>
      <c r="H75" s="1">
        <f t="shared" si="4"/>
        <v>24.474391199999992</v>
      </c>
      <c r="I75" s="2">
        <f t="shared" si="7"/>
        <v>12.799535669827954</v>
      </c>
      <c r="J75">
        <f t="shared" si="5"/>
        <v>74</v>
      </c>
    </row>
    <row r="76" spans="2:10" x14ac:dyDescent="0.35">
      <c r="B76">
        <v>75</v>
      </c>
      <c r="C76">
        <v>36.270298866936507</v>
      </c>
      <c r="D76">
        <v>4.6884560000000004</v>
      </c>
      <c r="E76">
        <v>148.79324286693651</v>
      </c>
      <c r="F76">
        <v>24</v>
      </c>
      <c r="G76" s="1">
        <f t="shared" si="6"/>
        <v>124.79324286693651</v>
      </c>
      <c r="H76" s="1">
        <f t="shared" si="4"/>
        <v>112.52294400000001</v>
      </c>
      <c r="I76" s="2">
        <f t="shared" si="7"/>
        <v>12.2702988669365</v>
      </c>
      <c r="J76">
        <f t="shared" si="5"/>
        <v>75</v>
      </c>
    </row>
    <row r="77" spans="2:10" x14ac:dyDescent="0.35">
      <c r="B77">
        <v>76</v>
      </c>
      <c r="C77">
        <v>35.49797163768897</v>
      </c>
      <c r="D77">
        <v>3.2451203</v>
      </c>
      <c r="E77">
        <v>113.38085883768898</v>
      </c>
      <c r="F77">
        <v>24</v>
      </c>
      <c r="G77" s="1">
        <f t="shared" si="6"/>
        <v>89.380858837688976</v>
      </c>
      <c r="H77" s="1">
        <f t="shared" si="4"/>
        <v>77.882887199999999</v>
      </c>
      <c r="I77" s="2">
        <f t="shared" si="7"/>
        <v>11.497971637688977</v>
      </c>
      <c r="J77">
        <f t="shared" si="5"/>
        <v>76</v>
      </c>
    </row>
    <row r="78" spans="2:10" x14ac:dyDescent="0.35">
      <c r="B78">
        <v>77</v>
      </c>
      <c r="C78">
        <v>37.28613373325171</v>
      </c>
      <c r="D78">
        <v>4.5539779999999999</v>
      </c>
      <c r="E78">
        <v>146.58160573325171</v>
      </c>
      <c r="F78">
        <v>25.824068144180703</v>
      </c>
      <c r="G78" s="1">
        <f t="shared" si="6"/>
        <v>120.75753758907101</v>
      </c>
      <c r="H78" s="1">
        <f t="shared" si="4"/>
        <v>109.29547199999999</v>
      </c>
      <c r="I78" s="2">
        <f t="shared" si="7"/>
        <v>11.462065589071017</v>
      </c>
      <c r="J78">
        <f t="shared" si="5"/>
        <v>77</v>
      </c>
    </row>
    <row r="79" spans="2:10" x14ac:dyDescent="0.35">
      <c r="B79">
        <v>78</v>
      </c>
      <c r="C79">
        <v>40.100875856278122</v>
      </c>
      <c r="D79">
        <v>2.9373019999999999</v>
      </c>
      <c r="E79">
        <v>110.59612385627813</v>
      </c>
      <c r="F79">
        <v>29.869693330447703</v>
      </c>
      <c r="G79" s="1">
        <f t="shared" si="6"/>
        <v>80.726430525830423</v>
      </c>
      <c r="H79" s="1">
        <f t="shared" si="4"/>
        <v>70.495248000000004</v>
      </c>
      <c r="I79" s="2">
        <f t="shared" si="7"/>
        <v>10.23118252583042</v>
      </c>
      <c r="J79">
        <f t="shared" si="5"/>
        <v>78</v>
      </c>
    </row>
    <row r="80" spans="2:10" x14ac:dyDescent="0.35">
      <c r="B80">
        <v>78</v>
      </c>
      <c r="C80">
        <v>57.391351736318818</v>
      </c>
      <c r="D80">
        <v>4.5308840000000004</v>
      </c>
      <c r="E80">
        <v>166.13256773631883</v>
      </c>
      <c r="F80">
        <v>27.171839260520709</v>
      </c>
      <c r="G80" s="1">
        <f t="shared" si="6"/>
        <v>138.96072847579813</v>
      </c>
      <c r="H80" s="1">
        <f t="shared" si="4"/>
        <v>108.74121600000001</v>
      </c>
      <c r="I80" s="2">
        <f t="shared" si="7"/>
        <v>30.219512475798126</v>
      </c>
      <c r="J80">
        <f t="shared" si="5"/>
        <v>78</v>
      </c>
    </row>
    <row r="81" spans="2:10" x14ac:dyDescent="0.35">
      <c r="B81">
        <v>79</v>
      </c>
      <c r="C81">
        <v>59.112388504838435</v>
      </c>
      <c r="D81">
        <v>4.6495714000000001</v>
      </c>
      <c r="E81">
        <v>170.70210210483845</v>
      </c>
      <c r="F81">
        <v>40.337920516489248</v>
      </c>
      <c r="G81" s="1">
        <f t="shared" si="6"/>
        <v>130.3641815883492</v>
      </c>
      <c r="H81" s="1">
        <f t="shared" si="4"/>
        <v>111.58971360000001</v>
      </c>
      <c r="I81" s="2">
        <f t="shared" si="7"/>
        <v>18.774467988349187</v>
      </c>
      <c r="J81">
        <f t="shared" si="5"/>
        <v>79</v>
      </c>
    </row>
    <row r="82" spans="2:10" x14ac:dyDescent="0.35">
      <c r="B82">
        <v>80</v>
      </c>
      <c r="C82">
        <v>44.109782895260103</v>
      </c>
      <c r="D82">
        <v>4.0787363000000001</v>
      </c>
      <c r="E82">
        <v>141.99945409526009</v>
      </c>
      <c r="F82">
        <v>36.270298866936507</v>
      </c>
      <c r="G82" s="1">
        <f t="shared" si="6"/>
        <v>105.72915522832358</v>
      </c>
      <c r="H82" s="1">
        <f t="shared" si="4"/>
        <v>97.889671200000009</v>
      </c>
      <c r="I82" s="2">
        <f t="shared" si="7"/>
        <v>7.8394840283235681</v>
      </c>
      <c r="J82">
        <f t="shared" si="5"/>
        <v>80</v>
      </c>
    </row>
    <row r="83" spans="2:10" x14ac:dyDescent="0.35">
      <c r="B83">
        <v>81</v>
      </c>
      <c r="C83">
        <v>47.158362421890764</v>
      </c>
      <c r="D83">
        <v>3.0060756</v>
      </c>
      <c r="E83">
        <v>119.30417682189076</v>
      </c>
      <c r="F83">
        <v>36.799535669827947</v>
      </c>
      <c r="G83" s="1">
        <f t="shared" si="6"/>
        <v>82.504641152062817</v>
      </c>
      <c r="H83" s="1">
        <f t="shared" si="4"/>
        <v>72.145814400000006</v>
      </c>
      <c r="I83" s="2">
        <f t="shared" si="7"/>
        <v>10.358826752062811</v>
      </c>
      <c r="J83">
        <f t="shared" si="5"/>
        <v>81</v>
      </c>
    </row>
    <row r="84" spans="2:10" x14ac:dyDescent="0.35">
      <c r="B84">
        <v>82</v>
      </c>
      <c r="C84">
        <v>61.074143334544061</v>
      </c>
      <c r="D84">
        <v>4.8973335999999996</v>
      </c>
      <c r="E84">
        <v>178.61014973454405</v>
      </c>
      <c r="F84">
        <v>56.341599641523715</v>
      </c>
      <c r="G84" s="1">
        <f t="shared" si="6"/>
        <v>122.26855009302034</v>
      </c>
      <c r="H84" s="1">
        <f t="shared" si="4"/>
        <v>117.53600639999999</v>
      </c>
      <c r="I84" s="2">
        <f t="shared" si="7"/>
        <v>4.7325436930203466</v>
      </c>
      <c r="J84">
        <f t="shared" si="5"/>
        <v>82</v>
      </c>
    </row>
    <row r="85" spans="2:10" x14ac:dyDescent="0.35">
      <c r="B85">
        <v>83</v>
      </c>
      <c r="C85">
        <v>53.172445905305501</v>
      </c>
      <c r="D85">
        <v>2.8736818</v>
      </c>
      <c r="E85">
        <v>122.14080910530549</v>
      </c>
      <c r="F85">
        <v>40.100875856278122</v>
      </c>
      <c r="G85" s="1">
        <f t="shared" si="6"/>
        <v>82.039933249027371</v>
      </c>
      <c r="H85" s="1">
        <f t="shared" si="4"/>
        <v>68.968363199999999</v>
      </c>
      <c r="I85" s="2">
        <f t="shared" si="7"/>
        <v>13.071570049027372</v>
      </c>
      <c r="J85">
        <f t="shared" si="5"/>
        <v>83</v>
      </c>
    </row>
    <row r="86" spans="2:10" x14ac:dyDescent="0.35">
      <c r="B86">
        <v>84</v>
      </c>
      <c r="C86">
        <v>54.851240370492391</v>
      </c>
      <c r="D86">
        <v>4.1966558000000003</v>
      </c>
      <c r="E86">
        <v>155.5709795704924</v>
      </c>
      <c r="F86">
        <v>41.603224248157723</v>
      </c>
      <c r="G86" s="1">
        <f t="shared" si="6"/>
        <v>113.96775532233468</v>
      </c>
      <c r="H86" s="1">
        <f t="shared" si="4"/>
        <v>100.71973920000001</v>
      </c>
      <c r="I86" s="2">
        <f t="shared" si="7"/>
        <v>13.248016122334676</v>
      </c>
      <c r="J86">
        <f t="shared" si="5"/>
        <v>84</v>
      </c>
    </row>
    <row r="87" spans="2:10" x14ac:dyDescent="0.35">
      <c r="B87">
        <v>84</v>
      </c>
      <c r="C87">
        <v>66.650252612301614</v>
      </c>
      <c r="D87">
        <v>5.8289460000000002</v>
      </c>
      <c r="E87">
        <v>206.54495661230163</v>
      </c>
      <c r="F87">
        <v>59.112388504838435</v>
      </c>
      <c r="G87" s="1">
        <f t="shared" si="6"/>
        <v>147.4325681074632</v>
      </c>
      <c r="H87" s="1">
        <f t="shared" si="4"/>
        <v>139.89470399999999</v>
      </c>
      <c r="I87" s="2">
        <f t="shared" si="7"/>
        <v>7.5378641074632071</v>
      </c>
      <c r="J87">
        <f t="shared" si="5"/>
        <v>84</v>
      </c>
    </row>
    <row r="88" spans="2:10" x14ac:dyDescent="0.35">
      <c r="B88">
        <v>85</v>
      </c>
      <c r="C88">
        <v>55.757238168700809</v>
      </c>
      <c r="D88">
        <v>4.4509850000000002</v>
      </c>
      <c r="E88">
        <v>162.58087816870079</v>
      </c>
      <c r="F88">
        <v>44.109782895260103</v>
      </c>
      <c r="G88" s="1">
        <f t="shared" si="6"/>
        <v>118.47109527344068</v>
      </c>
      <c r="H88" s="1">
        <f t="shared" si="4"/>
        <v>106.82364000000001</v>
      </c>
      <c r="I88" s="2">
        <f t="shared" si="7"/>
        <v>11.64745527344067</v>
      </c>
      <c r="J88">
        <f t="shared" si="5"/>
        <v>85</v>
      </c>
    </row>
    <row r="89" spans="2:10" x14ac:dyDescent="0.35">
      <c r="B89">
        <v>86</v>
      </c>
      <c r="C89">
        <v>57.505992376111557</v>
      </c>
      <c r="D89">
        <v>0.89836729999999987</v>
      </c>
      <c r="E89">
        <v>79.066807576111557</v>
      </c>
      <c r="F89">
        <v>47.158362421890764</v>
      </c>
      <c r="G89" s="1">
        <f t="shared" si="6"/>
        <v>31.908445154220793</v>
      </c>
      <c r="H89" s="1">
        <f t="shared" si="4"/>
        <v>21.560815199999997</v>
      </c>
      <c r="I89" s="2">
        <f t="shared" si="7"/>
        <v>10.347629954220796</v>
      </c>
      <c r="J89">
        <f t="shared" si="5"/>
        <v>86</v>
      </c>
    </row>
    <row r="90" spans="2:10" x14ac:dyDescent="0.35">
      <c r="B90">
        <v>87</v>
      </c>
      <c r="C90">
        <v>58.321920291809768</v>
      </c>
      <c r="D90">
        <v>2.7454016000000001</v>
      </c>
      <c r="E90">
        <v>124.21155869180976</v>
      </c>
      <c r="F90">
        <v>49.2317630852476</v>
      </c>
      <c r="G90" s="1">
        <f t="shared" si="6"/>
        <v>74.979795606562163</v>
      </c>
      <c r="H90" s="1">
        <f t="shared" si="4"/>
        <v>65.889638399999995</v>
      </c>
      <c r="I90" s="2">
        <f t="shared" si="7"/>
        <v>9.0901572065621679</v>
      </c>
      <c r="J90">
        <f t="shared" si="5"/>
        <v>87</v>
      </c>
    </row>
    <row r="91" spans="2:10" x14ac:dyDescent="0.35">
      <c r="B91">
        <v>88</v>
      </c>
      <c r="C91">
        <v>59.550762608396639</v>
      </c>
      <c r="D91">
        <v>0.99233280000000001</v>
      </c>
      <c r="E91">
        <v>83.366749808396634</v>
      </c>
      <c r="F91">
        <v>53.172445905305501</v>
      </c>
      <c r="G91" s="1">
        <f t="shared" si="6"/>
        <v>30.194303903091132</v>
      </c>
      <c r="H91" s="1">
        <f t="shared" si="4"/>
        <v>23.815987200000002</v>
      </c>
      <c r="I91" s="2">
        <f t="shared" si="7"/>
        <v>6.3783167030911301</v>
      </c>
      <c r="J91">
        <f t="shared" si="5"/>
        <v>88</v>
      </c>
    </row>
    <row r="92" spans="2:10" x14ac:dyDescent="0.35">
      <c r="B92">
        <v>88</v>
      </c>
      <c r="C92">
        <v>72.165184591467167</v>
      </c>
      <c r="D92">
        <v>3.9648200999999998</v>
      </c>
      <c r="E92">
        <v>167.32086699146717</v>
      </c>
      <c r="F92">
        <v>64.545009410467173</v>
      </c>
      <c r="G92" s="1">
        <f t="shared" si="6"/>
        <v>102.775857581</v>
      </c>
      <c r="H92" s="1">
        <f t="shared" si="4"/>
        <v>95.155682399999989</v>
      </c>
      <c r="I92" s="2">
        <f t="shared" si="7"/>
        <v>7.6201751810000076</v>
      </c>
      <c r="J92">
        <f t="shared" si="5"/>
        <v>88</v>
      </c>
    </row>
    <row r="93" spans="2:10" x14ac:dyDescent="0.35">
      <c r="B93">
        <v>91</v>
      </c>
      <c r="C93">
        <v>79.234926000804037</v>
      </c>
      <c r="D93">
        <v>3.6876660000000001</v>
      </c>
      <c r="E93">
        <v>167.73891000080403</v>
      </c>
      <c r="F93">
        <v>68.798927214048206</v>
      </c>
      <c r="G93" s="1">
        <f t="shared" si="6"/>
        <v>98.93998278675582</v>
      </c>
      <c r="H93" s="1">
        <f t="shared" si="4"/>
        <v>88.503984000000003</v>
      </c>
      <c r="I93" s="2">
        <f t="shared" si="7"/>
        <v>10.435998786755817</v>
      </c>
      <c r="J93">
        <f t="shared" si="5"/>
        <v>91</v>
      </c>
    </row>
    <row r="94" spans="2:10" x14ac:dyDescent="0.35">
      <c r="B94">
        <v>92</v>
      </c>
      <c r="C94">
        <v>79.487226835323128</v>
      </c>
      <c r="D94">
        <v>4.7653645999999998</v>
      </c>
      <c r="E94">
        <v>193.85597723532311</v>
      </c>
      <c r="F94">
        <v>70.778239585645537</v>
      </c>
      <c r="G94" s="1">
        <f t="shared" si="6"/>
        <v>123.07773764967757</v>
      </c>
      <c r="H94" s="1">
        <f t="shared" si="4"/>
        <v>114.3687504</v>
      </c>
      <c r="I94" s="2">
        <f t="shared" si="7"/>
        <v>8.7089872496775769</v>
      </c>
      <c r="J94">
        <f t="shared" si="5"/>
        <v>92</v>
      </c>
    </row>
    <row r="95" spans="2:10" x14ac:dyDescent="0.35">
      <c r="B95">
        <v>93</v>
      </c>
      <c r="C95">
        <v>71.225640197666934</v>
      </c>
      <c r="D95">
        <v>2.9639131999999999</v>
      </c>
      <c r="E95">
        <v>142.35955699766691</v>
      </c>
      <c r="F95">
        <v>59.550762608396639</v>
      </c>
      <c r="G95" s="1">
        <f t="shared" si="6"/>
        <v>82.808794389270275</v>
      </c>
      <c r="H95" s="1">
        <f t="shared" si="4"/>
        <v>71.133916799999994</v>
      </c>
      <c r="I95" s="2">
        <f t="shared" si="7"/>
        <v>11.674877589270281</v>
      </c>
      <c r="J95">
        <f t="shared" si="5"/>
        <v>93</v>
      </c>
    </row>
    <row r="96" spans="2:10" x14ac:dyDescent="0.35">
      <c r="B96">
        <v>94</v>
      </c>
      <c r="C96">
        <v>73.006352852334373</v>
      </c>
      <c r="D96">
        <v>1.5223366</v>
      </c>
      <c r="E96">
        <v>109.54243125233438</v>
      </c>
      <c r="F96">
        <v>61.273926869827946</v>
      </c>
      <c r="G96" s="1">
        <f t="shared" si="6"/>
        <v>48.268504382506435</v>
      </c>
      <c r="H96" s="1">
        <f t="shared" si="4"/>
        <v>36.536078400000001</v>
      </c>
      <c r="I96" s="2">
        <f t="shared" si="7"/>
        <v>11.732425982506435</v>
      </c>
      <c r="J96">
        <f t="shared" si="5"/>
        <v>94</v>
      </c>
    </row>
    <row r="97" spans="2:10" x14ac:dyDescent="0.35">
      <c r="B97">
        <v>94</v>
      </c>
      <c r="C97">
        <v>84.188083740104361</v>
      </c>
      <c r="D97">
        <v>4.2908244</v>
      </c>
      <c r="E97">
        <v>187.16786934010435</v>
      </c>
      <c r="F97">
        <v>74.497772283916888</v>
      </c>
      <c r="G97" s="1">
        <f t="shared" si="6"/>
        <v>112.67009705618746</v>
      </c>
      <c r="H97" s="1">
        <f t="shared" si="4"/>
        <v>102.9797856</v>
      </c>
      <c r="I97" s="2">
        <f t="shared" si="7"/>
        <v>9.6903114561874588</v>
      </c>
      <c r="J97">
        <f t="shared" si="5"/>
        <v>94</v>
      </c>
    </row>
    <row r="98" spans="2:10" x14ac:dyDescent="0.35">
      <c r="B98">
        <v>95</v>
      </c>
      <c r="C98">
        <v>73.113367441818212</v>
      </c>
      <c r="D98">
        <v>3.6528893</v>
      </c>
      <c r="E98">
        <v>160.7827106418182</v>
      </c>
      <c r="F98">
        <v>64.936550965381684</v>
      </c>
      <c r="G98" s="1">
        <f t="shared" si="6"/>
        <v>95.846159676436514</v>
      </c>
      <c r="H98" s="1">
        <f t="shared" si="4"/>
        <v>87.6693432</v>
      </c>
      <c r="I98" s="2">
        <f t="shared" si="7"/>
        <v>8.1768164764365139</v>
      </c>
      <c r="J98">
        <f t="shared" si="5"/>
        <v>95</v>
      </c>
    </row>
    <row r="99" spans="2:10" x14ac:dyDescent="0.35">
      <c r="B99">
        <v>96</v>
      </c>
      <c r="C99">
        <v>74.756871813081148</v>
      </c>
      <c r="D99">
        <v>2.0443354</v>
      </c>
      <c r="E99">
        <v>123.82092141308115</v>
      </c>
      <c r="F99">
        <v>68.326325809544414</v>
      </c>
      <c r="G99" s="1">
        <f t="shared" si="6"/>
        <v>55.494595603536737</v>
      </c>
      <c r="H99" s="1">
        <f t="shared" si="4"/>
        <v>49.064049600000004</v>
      </c>
      <c r="I99" s="2">
        <f t="shared" si="7"/>
        <v>6.4305460035367332</v>
      </c>
      <c r="J99">
        <f t="shared" si="5"/>
        <v>96</v>
      </c>
    </row>
    <row r="100" spans="2:10" x14ac:dyDescent="0.35">
      <c r="B100">
        <v>97</v>
      </c>
      <c r="C100">
        <v>88.82899891648924</v>
      </c>
      <c r="D100">
        <v>3.5287053999999998</v>
      </c>
      <c r="E100">
        <v>173.51792851648923</v>
      </c>
      <c r="F100">
        <v>79.487226835323128</v>
      </c>
      <c r="G100" s="1">
        <f t="shared" si="6"/>
        <v>94.030701681166107</v>
      </c>
      <c r="H100" s="1">
        <f t="shared" si="4"/>
        <v>84.688929599999994</v>
      </c>
      <c r="I100" s="2">
        <f t="shared" si="7"/>
        <v>9.3417720811661127</v>
      </c>
      <c r="J100">
        <f t="shared" si="5"/>
        <v>97</v>
      </c>
    </row>
    <row r="101" spans="2:10" x14ac:dyDescent="0.35">
      <c r="B101">
        <v>99</v>
      </c>
      <c r="C101">
        <v>90.885589851094153</v>
      </c>
      <c r="D101">
        <v>4.5456880000000002</v>
      </c>
      <c r="E101">
        <v>199.98210185109417</v>
      </c>
      <c r="F101">
        <v>84.188083740104361</v>
      </c>
      <c r="G101" s="1">
        <f t="shared" si="6"/>
        <v>115.79401811098981</v>
      </c>
      <c r="H101" s="1">
        <f t="shared" si="4"/>
        <v>109.096512</v>
      </c>
      <c r="I101" s="2">
        <f t="shared" si="7"/>
        <v>6.6975061109898064</v>
      </c>
      <c r="J101">
        <f t="shared" si="5"/>
        <v>99</v>
      </c>
    </row>
    <row r="102" spans="2:10" x14ac:dyDescent="0.35">
      <c r="B102">
        <v>101</v>
      </c>
      <c r="C102">
        <v>83.617206864161261</v>
      </c>
      <c r="D102">
        <v>2.9116920999999998</v>
      </c>
      <c r="E102">
        <v>153.49781726416126</v>
      </c>
      <c r="F102">
        <v>74.756871813081148</v>
      </c>
      <c r="G102" s="1">
        <f t="shared" si="6"/>
        <v>78.740945451080108</v>
      </c>
      <c r="H102" s="1">
        <f t="shared" si="4"/>
        <v>69.880610399999995</v>
      </c>
      <c r="I102" s="2">
        <f t="shared" si="7"/>
        <v>8.8603350510801135</v>
      </c>
      <c r="J102">
        <f t="shared" si="5"/>
        <v>101</v>
      </c>
    </row>
    <row r="103" spans="2:10" x14ac:dyDescent="0.35">
      <c r="B103">
        <v>101</v>
      </c>
      <c r="C103">
        <v>100.27676869834606</v>
      </c>
      <c r="D103">
        <v>6.5999746000000004</v>
      </c>
      <c r="E103">
        <v>258.67615909834609</v>
      </c>
      <c r="F103">
        <v>88.58251612786961</v>
      </c>
      <c r="G103" s="1">
        <f t="shared" si="6"/>
        <v>170.09364297047648</v>
      </c>
      <c r="H103" s="1">
        <f t="shared" si="4"/>
        <v>158.39939040000002</v>
      </c>
      <c r="I103" s="2">
        <f t="shared" si="7"/>
        <v>11.694252570476465</v>
      </c>
      <c r="J103">
        <f t="shared" si="5"/>
        <v>101</v>
      </c>
    </row>
    <row r="104" spans="2:10" x14ac:dyDescent="0.35">
      <c r="B104">
        <v>105</v>
      </c>
      <c r="C104">
        <v>90.339704366940822</v>
      </c>
      <c r="D104">
        <v>2.9460777999999999</v>
      </c>
      <c r="E104">
        <v>161.04557156694082</v>
      </c>
      <c r="F104">
        <v>83.366749808396634</v>
      </c>
      <c r="G104" s="1">
        <f t="shared" si="6"/>
        <v>77.678821758544188</v>
      </c>
      <c r="H104" s="1">
        <f t="shared" si="4"/>
        <v>70.7058672</v>
      </c>
      <c r="I104" s="2">
        <f t="shared" si="7"/>
        <v>6.9729545585441883</v>
      </c>
      <c r="J104">
        <f t="shared" si="5"/>
        <v>105</v>
      </c>
    </row>
    <row r="105" spans="2:10" x14ac:dyDescent="0.35">
      <c r="B105">
        <v>106</v>
      </c>
      <c r="C105">
        <v>92.285445935312595</v>
      </c>
      <c r="D105">
        <v>0.99473009999999995</v>
      </c>
      <c r="E105">
        <v>116.15896833531259</v>
      </c>
      <c r="F105">
        <v>83.617206864161261</v>
      </c>
      <c r="G105" s="1">
        <f t="shared" si="6"/>
        <v>32.541761471151332</v>
      </c>
      <c r="H105" s="1">
        <f t="shared" si="4"/>
        <v>23.873522399999999</v>
      </c>
      <c r="I105" s="2">
        <f t="shared" si="7"/>
        <v>8.6682390711513335</v>
      </c>
      <c r="J105">
        <f t="shared" si="5"/>
        <v>106</v>
      </c>
    </row>
    <row r="106" spans="2:10" x14ac:dyDescent="0.35">
      <c r="B106">
        <v>106</v>
      </c>
      <c r="C106">
        <v>102.57351318888554</v>
      </c>
      <c r="D106">
        <v>3.9007284999999996</v>
      </c>
      <c r="E106">
        <v>196.19099718888555</v>
      </c>
      <c r="F106">
        <v>100.27676869834606</v>
      </c>
      <c r="G106" s="1">
        <f t="shared" si="6"/>
        <v>95.914228490539486</v>
      </c>
      <c r="H106" s="1">
        <f t="shared" si="4"/>
        <v>93.61748399999999</v>
      </c>
      <c r="I106" s="2">
        <f t="shared" si="7"/>
        <v>2.2967444905394956</v>
      </c>
      <c r="J106">
        <f t="shared" si="5"/>
        <v>106</v>
      </c>
    </row>
    <row r="107" spans="2:10" x14ac:dyDescent="0.35">
      <c r="B107">
        <v>108</v>
      </c>
      <c r="C107">
        <v>96.775502478435058</v>
      </c>
      <c r="D107">
        <v>2.5668576000000001</v>
      </c>
      <c r="E107">
        <v>158.38008487843507</v>
      </c>
      <c r="F107">
        <v>87.047763401956132</v>
      </c>
      <c r="G107" s="1">
        <f t="shared" si="6"/>
        <v>71.332321476478938</v>
      </c>
      <c r="H107" s="1">
        <f t="shared" si="4"/>
        <v>61.604582399999998</v>
      </c>
      <c r="I107" s="2">
        <f t="shared" si="7"/>
        <v>9.7277390764789402</v>
      </c>
      <c r="J107">
        <f t="shared" si="5"/>
        <v>108</v>
      </c>
    </row>
    <row r="108" spans="2:10" x14ac:dyDescent="0.35">
      <c r="B108">
        <v>108</v>
      </c>
      <c r="C108">
        <v>104.05360355518083</v>
      </c>
      <c r="D108">
        <v>7.0044985000000004</v>
      </c>
      <c r="E108">
        <v>272.16156755518085</v>
      </c>
      <c r="F108">
        <v>101.28962126322855</v>
      </c>
      <c r="G108" s="1">
        <f t="shared" si="6"/>
        <v>170.8719462919523</v>
      </c>
      <c r="H108" s="1">
        <f t="shared" si="4"/>
        <v>168.10796400000001</v>
      </c>
      <c r="I108" s="2">
        <f t="shared" si="7"/>
        <v>2.7639822919522885</v>
      </c>
      <c r="J108">
        <f t="shared" si="5"/>
        <v>108</v>
      </c>
    </row>
    <row r="109" spans="2:10" x14ac:dyDescent="0.35">
      <c r="B109">
        <v>109</v>
      </c>
      <c r="C109">
        <v>106.20500795060849</v>
      </c>
      <c r="D109">
        <v>3.7863882000000002</v>
      </c>
      <c r="E109">
        <v>197.07832475060849</v>
      </c>
      <c r="F109">
        <v>102.19577794598297</v>
      </c>
      <c r="G109" s="1">
        <f t="shared" si="6"/>
        <v>94.88254680462552</v>
      </c>
      <c r="H109" s="1">
        <f t="shared" si="4"/>
        <v>90.873316799999998</v>
      </c>
      <c r="I109" s="2">
        <f t="shared" si="7"/>
        <v>4.0092300046255218</v>
      </c>
      <c r="J109">
        <f t="shared" si="5"/>
        <v>109</v>
      </c>
    </row>
    <row r="110" spans="2:10" x14ac:dyDescent="0.35">
      <c r="B110">
        <v>110</v>
      </c>
      <c r="C110">
        <v>107.09576561404819</v>
      </c>
      <c r="D110">
        <v>2.8586087</v>
      </c>
      <c r="E110">
        <v>175.70237441404819</v>
      </c>
      <c r="F110">
        <v>102.37951801504211</v>
      </c>
      <c r="G110" s="1">
        <f t="shared" si="6"/>
        <v>73.322856399006085</v>
      </c>
      <c r="H110" s="1">
        <f t="shared" si="4"/>
        <v>68.606608800000004</v>
      </c>
      <c r="I110" s="2">
        <f t="shared" si="7"/>
        <v>4.7162475990060813</v>
      </c>
      <c r="J110">
        <f t="shared" si="5"/>
        <v>110</v>
      </c>
    </row>
    <row r="111" spans="2:10" x14ac:dyDescent="0.35">
      <c r="B111">
        <v>111</v>
      </c>
      <c r="C111">
        <v>108.554104700095</v>
      </c>
      <c r="D111">
        <v>3.9285727000000001</v>
      </c>
      <c r="E111">
        <v>202.839849500095</v>
      </c>
      <c r="F111">
        <v>102.57351318888554</v>
      </c>
      <c r="G111" s="1">
        <f t="shared" si="6"/>
        <v>100.26633631120946</v>
      </c>
      <c r="H111" s="1">
        <f t="shared" si="4"/>
        <v>94.285744800000003</v>
      </c>
      <c r="I111" s="2">
        <f t="shared" si="7"/>
        <v>5.9805915112094539</v>
      </c>
      <c r="J111">
        <f t="shared" si="5"/>
        <v>111</v>
      </c>
    </row>
    <row r="112" spans="2:10" x14ac:dyDescent="0.35">
      <c r="B112">
        <v>112</v>
      </c>
      <c r="C112">
        <v>102.6053079253787</v>
      </c>
      <c r="D112">
        <v>1.9020875999999998</v>
      </c>
      <c r="E112">
        <v>148.2554103253787</v>
      </c>
      <c r="F112">
        <v>92.471730026337426</v>
      </c>
      <c r="G112" s="1">
        <f t="shared" si="6"/>
        <v>55.783680299041279</v>
      </c>
      <c r="H112" s="1">
        <f t="shared" si="4"/>
        <v>45.650102399999994</v>
      </c>
      <c r="I112" s="2">
        <f t="shared" si="7"/>
        <v>10.133577899041285</v>
      </c>
      <c r="J112">
        <f t="shared" si="5"/>
        <v>112</v>
      </c>
    </row>
    <row r="113" spans="2:10" x14ac:dyDescent="0.35">
      <c r="B113">
        <v>113</v>
      </c>
      <c r="C113">
        <v>110.11395117973487</v>
      </c>
      <c r="D113">
        <v>2.6312658999999998</v>
      </c>
      <c r="E113">
        <v>173.26433277973487</v>
      </c>
      <c r="F113">
        <v>104.05360355518083</v>
      </c>
      <c r="G113" s="1">
        <f t="shared" si="6"/>
        <v>69.210729224554044</v>
      </c>
      <c r="H113" s="1">
        <f t="shared" si="4"/>
        <v>63.150381599999996</v>
      </c>
      <c r="I113" s="2">
        <f t="shared" si="7"/>
        <v>6.0603476245540477</v>
      </c>
      <c r="J113">
        <f t="shared" si="5"/>
        <v>113</v>
      </c>
    </row>
    <row r="114" spans="2:10" x14ac:dyDescent="0.35">
      <c r="B114">
        <v>114</v>
      </c>
      <c r="C114">
        <v>111.27175848181058</v>
      </c>
      <c r="D114">
        <v>5.7513212999999999</v>
      </c>
      <c r="E114">
        <v>249.30346968181055</v>
      </c>
      <c r="F114">
        <v>106.20500795060849</v>
      </c>
      <c r="G114" s="1">
        <f t="shared" si="6"/>
        <v>143.09846173120206</v>
      </c>
      <c r="H114" s="1">
        <f t="shared" si="4"/>
        <v>138.03171119999999</v>
      </c>
      <c r="I114" s="2">
        <f t="shared" si="7"/>
        <v>5.0667505312020751</v>
      </c>
      <c r="J114">
        <f t="shared" si="5"/>
        <v>114</v>
      </c>
    </row>
    <row r="115" spans="2:10" x14ac:dyDescent="0.35">
      <c r="B115">
        <v>115</v>
      </c>
      <c r="C115">
        <v>111.90282384421212</v>
      </c>
      <c r="D115">
        <v>5.7329290000000004</v>
      </c>
      <c r="E115">
        <v>249.49311984421212</v>
      </c>
      <c r="F115">
        <v>107.09576561404819</v>
      </c>
      <c r="G115" s="1">
        <f t="shared" si="6"/>
        <v>142.39735423016393</v>
      </c>
      <c r="H115" s="1">
        <f t="shared" si="4"/>
        <v>137.59029600000002</v>
      </c>
      <c r="I115" s="2">
        <f t="shared" si="7"/>
        <v>4.8070582301639035</v>
      </c>
      <c r="J115">
        <f t="shared" si="5"/>
        <v>115</v>
      </c>
    </row>
    <row r="116" spans="2:10" x14ac:dyDescent="0.35">
      <c r="B116">
        <v>116</v>
      </c>
      <c r="C116">
        <v>112.42908838904154</v>
      </c>
      <c r="D116">
        <v>2.5136530000000001</v>
      </c>
      <c r="E116">
        <v>172.75676038904155</v>
      </c>
      <c r="F116">
        <v>108.554104700095</v>
      </c>
      <c r="G116" s="1">
        <f t="shared" si="6"/>
        <v>64.20265568894655</v>
      </c>
      <c r="H116" s="1">
        <f t="shared" si="4"/>
        <v>60.327672000000007</v>
      </c>
      <c r="I116" s="2">
        <f t="shared" si="7"/>
        <v>3.8749836889465428</v>
      </c>
      <c r="J116">
        <f t="shared" si="5"/>
        <v>116</v>
      </c>
    </row>
    <row r="117" spans="2:10" x14ac:dyDescent="0.35">
      <c r="B117">
        <v>117</v>
      </c>
      <c r="C117">
        <v>110.59612385627813</v>
      </c>
      <c r="D117">
        <v>1.0214832</v>
      </c>
      <c r="E117">
        <v>135.11172065627812</v>
      </c>
      <c r="F117">
        <v>102.6053079253787</v>
      </c>
      <c r="G117" s="1">
        <f t="shared" si="6"/>
        <v>32.506412730899427</v>
      </c>
      <c r="H117" s="1">
        <f t="shared" si="4"/>
        <v>24.515596800000001</v>
      </c>
      <c r="I117" s="2">
        <f t="shared" si="7"/>
        <v>7.9908159308994264</v>
      </c>
      <c r="J117">
        <f t="shared" si="5"/>
        <v>117</v>
      </c>
    </row>
    <row r="118" spans="2:10" x14ac:dyDescent="0.35">
      <c r="B118">
        <v>118</v>
      </c>
      <c r="C118">
        <v>118.56282177395215</v>
      </c>
      <c r="D118">
        <v>4.4685670000000002</v>
      </c>
      <c r="E118">
        <v>225.80842977395216</v>
      </c>
      <c r="F118">
        <v>110.11395117973487</v>
      </c>
      <c r="G118" s="1">
        <f t="shared" si="6"/>
        <v>115.69447859421729</v>
      </c>
      <c r="H118" s="1">
        <f t="shared" si="4"/>
        <v>107.245608</v>
      </c>
      <c r="I118" s="2">
        <f t="shared" si="7"/>
        <v>8.4488705942172828</v>
      </c>
      <c r="J118">
        <f t="shared" si="5"/>
        <v>118</v>
      </c>
    </row>
    <row r="119" spans="2:10" x14ac:dyDescent="0.35">
      <c r="B119">
        <v>119</v>
      </c>
      <c r="C119">
        <v>118.59610239461402</v>
      </c>
      <c r="D119">
        <v>3.0077486000000002</v>
      </c>
      <c r="E119">
        <v>190.78206879461402</v>
      </c>
      <c r="F119">
        <v>111.27175848181058</v>
      </c>
      <c r="G119" s="1">
        <f t="shared" si="6"/>
        <v>79.510310312803441</v>
      </c>
      <c r="H119" s="1">
        <f t="shared" si="4"/>
        <v>72.185966400000012</v>
      </c>
      <c r="I119" s="2">
        <f t="shared" si="7"/>
        <v>7.3243439128034282</v>
      </c>
      <c r="J119">
        <f t="shared" si="5"/>
        <v>119</v>
      </c>
    </row>
    <row r="120" spans="2:10" x14ac:dyDescent="0.35">
      <c r="B120">
        <v>120</v>
      </c>
      <c r="C120">
        <v>119.48408919387893</v>
      </c>
      <c r="D120">
        <v>6.7877144999999999</v>
      </c>
      <c r="E120">
        <v>282.38923719387896</v>
      </c>
      <c r="F120">
        <v>111.90282384421212</v>
      </c>
      <c r="G120" s="1">
        <f t="shared" si="6"/>
        <v>170.48641334966683</v>
      </c>
      <c r="H120" s="1">
        <f t="shared" si="4"/>
        <v>162.905148</v>
      </c>
      <c r="I120" s="2">
        <f t="shared" si="7"/>
        <v>7.5812653496668361</v>
      </c>
      <c r="J120">
        <f t="shared" si="5"/>
        <v>120</v>
      </c>
    </row>
    <row r="121" spans="2:10" x14ac:dyDescent="0.35">
      <c r="B121">
        <v>122</v>
      </c>
      <c r="C121">
        <v>121.58492397643533</v>
      </c>
      <c r="D121">
        <v>5.9036720000000003</v>
      </c>
      <c r="E121">
        <v>263.27305197643534</v>
      </c>
      <c r="F121">
        <v>115.60095532793987</v>
      </c>
      <c r="G121" s="1">
        <f t="shared" si="6"/>
        <v>147.67209664849548</v>
      </c>
      <c r="H121" s="1">
        <f t="shared" si="4"/>
        <v>141.68812800000001</v>
      </c>
      <c r="I121" s="2">
        <f t="shared" si="7"/>
        <v>5.9839686484954768</v>
      </c>
      <c r="J121">
        <f t="shared" si="5"/>
        <v>122</v>
      </c>
    </row>
    <row r="122" spans="2:10" x14ac:dyDescent="0.35">
      <c r="B122">
        <v>123</v>
      </c>
      <c r="C122">
        <v>122.09912263033965</v>
      </c>
      <c r="D122">
        <v>4.4626780000000004</v>
      </c>
      <c r="E122">
        <v>229.20339463033966</v>
      </c>
      <c r="F122">
        <v>118.56282177395215</v>
      </c>
      <c r="G122" s="1">
        <f t="shared" si="6"/>
        <v>110.64057285638751</v>
      </c>
      <c r="H122" s="1">
        <f t="shared" si="4"/>
        <v>107.10427200000001</v>
      </c>
      <c r="I122" s="2">
        <f t="shared" si="7"/>
        <v>3.5363008563874985</v>
      </c>
      <c r="J122">
        <f t="shared" si="5"/>
        <v>123</v>
      </c>
    </row>
    <row r="123" spans="2:10" x14ac:dyDescent="0.35">
      <c r="B123">
        <v>124</v>
      </c>
      <c r="C123">
        <v>122.98255025922543</v>
      </c>
      <c r="D123">
        <v>6.8272880000000002</v>
      </c>
      <c r="E123">
        <v>286.83746225922539</v>
      </c>
      <c r="F123">
        <v>118.59610239461402</v>
      </c>
      <c r="G123" s="1">
        <f t="shared" si="6"/>
        <v>168.24135986461135</v>
      </c>
      <c r="H123" s="1">
        <f t="shared" si="4"/>
        <v>163.85491200000001</v>
      </c>
      <c r="I123" s="2">
        <f t="shared" si="7"/>
        <v>4.3864478646113412</v>
      </c>
      <c r="J123">
        <f t="shared" si="5"/>
        <v>124</v>
      </c>
    </row>
    <row r="124" spans="2:10" x14ac:dyDescent="0.35">
      <c r="B124">
        <v>125</v>
      </c>
      <c r="C124">
        <v>120.67416267957822</v>
      </c>
      <c r="D124">
        <v>1.5156106999999999</v>
      </c>
      <c r="E124">
        <v>157.04881947957821</v>
      </c>
      <c r="F124">
        <v>116.15896833531259</v>
      </c>
      <c r="G124" s="1">
        <f t="shared" si="6"/>
        <v>40.88985114426562</v>
      </c>
      <c r="H124" s="1">
        <f t="shared" si="4"/>
        <v>36.374656799999997</v>
      </c>
      <c r="I124" s="2">
        <f t="shared" si="7"/>
        <v>4.5151943442656233</v>
      </c>
      <c r="J124">
        <f t="shared" si="5"/>
        <v>125</v>
      </c>
    </row>
    <row r="125" spans="2:10" x14ac:dyDescent="0.35">
      <c r="B125">
        <v>125</v>
      </c>
      <c r="C125">
        <v>123.39803226348869</v>
      </c>
      <c r="D125">
        <v>3.6813370000000001</v>
      </c>
      <c r="E125">
        <v>211.75012026348867</v>
      </c>
      <c r="F125">
        <v>119.48408919387893</v>
      </c>
      <c r="G125" s="1">
        <f t="shared" si="6"/>
        <v>92.266031069609738</v>
      </c>
      <c r="H125" s="1">
        <f t="shared" si="4"/>
        <v>88.352088000000009</v>
      </c>
      <c r="I125" s="2">
        <f t="shared" si="7"/>
        <v>3.9139430696097293</v>
      </c>
      <c r="J125">
        <f t="shared" si="5"/>
        <v>125</v>
      </c>
    </row>
    <row r="126" spans="2:10" x14ac:dyDescent="0.35">
      <c r="B126">
        <v>126</v>
      </c>
      <c r="C126">
        <v>123.65292412786961</v>
      </c>
      <c r="D126">
        <v>4.1346736000000002</v>
      </c>
      <c r="E126">
        <v>222.88509052786961</v>
      </c>
      <c r="F126">
        <v>121.28522619087636</v>
      </c>
      <c r="G126" s="1">
        <f t="shared" si="6"/>
        <v>101.59986433699325</v>
      </c>
      <c r="H126" s="1">
        <f t="shared" si="4"/>
        <v>99.232166400000011</v>
      </c>
      <c r="I126" s="2">
        <f t="shared" si="7"/>
        <v>2.3676979369932383</v>
      </c>
      <c r="J126">
        <f t="shared" si="5"/>
        <v>126</v>
      </c>
    </row>
    <row r="127" spans="2:10" x14ac:dyDescent="0.35">
      <c r="B127">
        <v>127</v>
      </c>
      <c r="C127">
        <v>124.92910382322856</v>
      </c>
      <c r="D127">
        <v>7.6191440000000004</v>
      </c>
      <c r="E127">
        <v>307.78855982322852</v>
      </c>
      <c r="F127">
        <v>121.58492397643533</v>
      </c>
      <c r="G127" s="1">
        <f t="shared" si="6"/>
        <v>186.20363584679319</v>
      </c>
      <c r="H127" s="1">
        <f t="shared" si="4"/>
        <v>182.85945600000002</v>
      </c>
      <c r="I127" s="2">
        <f t="shared" si="7"/>
        <v>3.3441798467931676</v>
      </c>
      <c r="J127">
        <f t="shared" si="5"/>
        <v>127</v>
      </c>
    </row>
    <row r="128" spans="2:10" x14ac:dyDescent="0.35">
      <c r="B128">
        <v>128</v>
      </c>
      <c r="C128">
        <v>124.99919084222861</v>
      </c>
      <c r="D128">
        <v>3.8985102000000005</v>
      </c>
      <c r="E128">
        <v>218.56343564222863</v>
      </c>
      <c r="F128">
        <v>122.09912263033965</v>
      </c>
      <c r="G128" s="1">
        <f t="shared" si="6"/>
        <v>96.464313011888976</v>
      </c>
      <c r="H128" s="1">
        <f t="shared" si="4"/>
        <v>93.564244800000012</v>
      </c>
      <c r="I128" s="2">
        <f t="shared" si="7"/>
        <v>2.9000682118889642</v>
      </c>
      <c r="J128">
        <f t="shared" si="5"/>
        <v>128</v>
      </c>
    </row>
    <row r="129" spans="2:10" x14ac:dyDescent="0.35">
      <c r="B129">
        <v>129</v>
      </c>
      <c r="C129">
        <v>126.27439596391841</v>
      </c>
      <c r="D129">
        <v>4.8423157000000003</v>
      </c>
      <c r="E129">
        <v>242.48997276391842</v>
      </c>
      <c r="F129">
        <v>122.98255025922543</v>
      </c>
      <c r="G129" s="1">
        <f t="shared" si="6"/>
        <v>119.50742250469298</v>
      </c>
      <c r="H129" s="1">
        <f t="shared" si="4"/>
        <v>116.21557680000001</v>
      </c>
      <c r="I129" s="2">
        <f t="shared" si="7"/>
        <v>3.2918457046929746</v>
      </c>
      <c r="J129">
        <f t="shared" si="5"/>
        <v>129</v>
      </c>
    </row>
    <row r="130" spans="2:10" x14ac:dyDescent="0.35">
      <c r="B130">
        <v>130</v>
      </c>
      <c r="C130">
        <v>129.02908231744757</v>
      </c>
      <c r="D130">
        <v>8.6012260000000005</v>
      </c>
      <c r="E130">
        <v>335.45850631744759</v>
      </c>
      <c r="F130">
        <v>123.39803226348869</v>
      </c>
      <c r="G130" s="1">
        <f t="shared" si="6"/>
        <v>212.0604740539589</v>
      </c>
      <c r="H130" s="1">
        <f t="shared" ref="H130:H193" si="8">D130*24</f>
        <v>206.42942400000001</v>
      </c>
      <c r="I130" s="2">
        <f t="shared" si="7"/>
        <v>5.6310500539588872</v>
      </c>
      <c r="J130">
        <f t="shared" ref="J130:J193" si="9">B130</f>
        <v>130</v>
      </c>
    </row>
    <row r="131" spans="2:10" x14ac:dyDescent="0.35">
      <c r="B131">
        <v>132</v>
      </c>
      <c r="C131">
        <v>131.89291337147137</v>
      </c>
      <c r="D131">
        <v>3.2724220000000006</v>
      </c>
      <c r="E131">
        <v>210.43104137147137</v>
      </c>
      <c r="F131">
        <v>124.92910382322856</v>
      </c>
      <c r="G131" s="1">
        <f t="shared" ref="G131:G194" si="10">E131-F131</f>
        <v>85.501937548242807</v>
      </c>
      <c r="H131" s="1">
        <f t="shared" si="8"/>
        <v>78.538128000000015</v>
      </c>
      <c r="I131" s="2">
        <f t="shared" ref="I131:I194" si="11">G131-H131</f>
        <v>6.9638095482427929</v>
      </c>
      <c r="J131">
        <f t="shared" si="9"/>
        <v>132</v>
      </c>
    </row>
    <row r="132" spans="2:10" x14ac:dyDescent="0.35">
      <c r="B132">
        <v>133</v>
      </c>
      <c r="C132">
        <v>132.69497622242633</v>
      </c>
      <c r="D132">
        <v>3.0111696999999999</v>
      </c>
      <c r="E132">
        <v>204.96304902242633</v>
      </c>
      <c r="F132">
        <v>124.99919084222861</v>
      </c>
      <c r="G132" s="1">
        <f t="shared" si="10"/>
        <v>79.963858180197718</v>
      </c>
      <c r="H132" s="1">
        <f t="shared" si="8"/>
        <v>72.268072799999999</v>
      </c>
      <c r="I132" s="2">
        <f t="shared" si="11"/>
        <v>7.6957853801977194</v>
      </c>
      <c r="J132">
        <f t="shared" si="9"/>
        <v>133</v>
      </c>
    </row>
    <row r="133" spans="2:10" x14ac:dyDescent="0.35">
      <c r="B133">
        <v>134</v>
      </c>
      <c r="C133">
        <v>133.87364211494219</v>
      </c>
      <c r="D133">
        <v>6.3117340000000004</v>
      </c>
      <c r="E133">
        <v>285.35525811494222</v>
      </c>
      <c r="F133">
        <v>126.27439596391841</v>
      </c>
      <c r="G133" s="1">
        <f t="shared" si="10"/>
        <v>159.08086215102381</v>
      </c>
      <c r="H133" s="1">
        <f t="shared" si="8"/>
        <v>151.481616</v>
      </c>
      <c r="I133" s="2">
        <f t="shared" si="11"/>
        <v>7.5992461510238059</v>
      </c>
      <c r="J133">
        <f t="shared" si="9"/>
        <v>134</v>
      </c>
    </row>
    <row r="134" spans="2:10" x14ac:dyDescent="0.35">
      <c r="B134">
        <v>135</v>
      </c>
      <c r="C134">
        <v>127.74566151494636</v>
      </c>
      <c r="D134">
        <v>1.0119479</v>
      </c>
      <c r="E134">
        <v>152.03241111494637</v>
      </c>
      <c r="F134">
        <v>123.52119290160722</v>
      </c>
      <c r="G134" s="1">
        <f t="shared" si="10"/>
        <v>28.511218213339149</v>
      </c>
      <c r="H134" s="1">
        <f t="shared" si="8"/>
        <v>24.2867496</v>
      </c>
      <c r="I134" s="2">
        <f t="shared" si="11"/>
        <v>4.2244686133391482</v>
      </c>
      <c r="J134">
        <f t="shared" si="9"/>
        <v>135</v>
      </c>
    </row>
    <row r="135" spans="2:10" x14ac:dyDescent="0.35">
      <c r="B135">
        <v>135</v>
      </c>
      <c r="C135">
        <v>135.1477341111011</v>
      </c>
      <c r="D135">
        <v>4.2734522999999998</v>
      </c>
      <c r="E135">
        <v>237.7105893111011</v>
      </c>
      <c r="F135">
        <v>129.02908231744757</v>
      </c>
      <c r="G135" s="1">
        <f t="shared" si="10"/>
        <v>108.68150699365353</v>
      </c>
      <c r="H135" s="1">
        <f t="shared" si="8"/>
        <v>102.5628552</v>
      </c>
      <c r="I135" s="2">
        <f t="shared" si="11"/>
        <v>6.1186517936535267</v>
      </c>
      <c r="J135">
        <f t="shared" si="9"/>
        <v>135</v>
      </c>
    </row>
    <row r="136" spans="2:10" x14ac:dyDescent="0.35">
      <c r="B136">
        <v>136</v>
      </c>
      <c r="C136">
        <v>136.73980897222674</v>
      </c>
      <c r="D136">
        <v>4.8381686000000004</v>
      </c>
      <c r="E136">
        <v>252.85585537222676</v>
      </c>
      <c r="F136">
        <v>130.59555470310289</v>
      </c>
      <c r="G136" s="1">
        <f t="shared" si="10"/>
        <v>122.26030066912386</v>
      </c>
      <c r="H136" s="1">
        <f t="shared" si="8"/>
        <v>116.11604640000002</v>
      </c>
      <c r="I136" s="2">
        <f t="shared" si="11"/>
        <v>6.1442542691238486</v>
      </c>
      <c r="J136">
        <f t="shared" si="9"/>
        <v>136</v>
      </c>
    </row>
    <row r="137" spans="2:10" x14ac:dyDescent="0.35">
      <c r="B137">
        <v>137</v>
      </c>
      <c r="C137">
        <v>139.37644380073073</v>
      </c>
      <c r="D137">
        <v>4.9765066999999998</v>
      </c>
      <c r="E137">
        <v>258.81260460073071</v>
      </c>
      <c r="F137">
        <v>131.89291337147137</v>
      </c>
      <c r="G137" s="1">
        <f t="shared" si="10"/>
        <v>126.91969122925934</v>
      </c>
      <c r="H137" s="1">
        <f t="shared" si="8"/>
        <v>119.4361608</v>
      </c>
      <c r="I137" s="2">
        <f t="shared" si="11"/>
        <v>7.4835304292593463</v>
      </c>
      <c r="J137">
        <f t="shared" si="9"/>
        <v>137</v>
      </c>
    </row>
    <row r="138" spans="2:10" x14ac:dyDescent="0.35">
      <c r="B138">
        <v>138</v>
      </c>
      <c r="C138">
        <v>141.75223718564553</v>
      </c>
      <c r="D138">
        <v>4.4193759999999997</v>
      </c>
      <c r="E138">
        <v>247.81726118564552</v>
      </c>
      <c r="F138">
        <v>132.69497622242633</v>
      </c>
      <c r="G138" s="1">
        <f t="shared" si="10"/>
        <v>115.12228496321919</v>
      </c>
      <c r="H138" s="1">
        <f t="shared" si="8"/>
        <v>106.06502399999999</v>
      </c>
      <c r="I138" s="2">
        <f t="shared" si="11"/>
        <v>9.0572609632191927</v>
      </c>
      <c r="J138">
        <f t="shared" si="9"/>
        <v>138</v>
      </c>
    </row>
    <row r="139" spans="2:10" x14ac:dyDescent="0.35">
      <c r="B139">
        <v>139</v>
      </c>
      <c r="C139">
        <v>142.26197492972628</v>
      </c>
      <c r="D139">
        <v>5.8519560000000004</v>
      </c>
      <c r="E139">
        <v>282.70891892972628</v>
      </c>
      <c r="F139">
        <v>133.87364211494219</v>
      </c>
      <c r="G139" s="1">
        <f t="shared" si="10"/>
        <v>148.83527681478409</v>
      </c>
      <c r="H139" s="1">
        <f t="shared" si="8"/>
        <v>140.446944</v>
      </c>
      <c r="I139" s="2">
        <f t="shared" si="11"/>
        <v>8.3883328147840928</v>
      </c>
      <c r="J139">
        <f t="shared" si="9"/>
        <v>139</v>
      </c>
    </row>
    <row r="140" spans="2:10" x14ac:dyDescent="0.35">
      <c r="B140">
        <v>140</v>
      </c>
      <c r="C140">
        <v>143.04398013361475</v>
      </c>
      <c r="D140">
        <v>2.7324161999999999</v>
      </c>
      <c r="E140">
        <v>208.62196893361477</v>
      </c>
      <c r="F140">
        <v>135.1477341111011</v>
      </c>
      <c r="G140" s="1">
        <f t="shared" si="10"/>
        <v>73.474234822513665</v>
      </c>
      <c r="H140" s="1">
        <f t="shared" si="8"/>
        <v>65.5779888</v>
      </c>
      <c r="I140" s="2">
        <f t="shared" si="11"/>
        <v>7.8962460225136653</v>
      </c>
      <c r="J140">
        <f t="shared" si="9"/>
        <v>140</v>
      </c>
    </row>
    <row r="141" spans="2:10" x14ac:dyDescent="0.35">
      <c r="B141">
        <v>141</v>
      </c>
      <c r="C141">
        <v>144.05278921504211</v>
      </c>
      <c r="D141">
        <v>2.1551339999999999</v>
      </c>
      <c r="E141">
        <v>195.77600521504212</v>
      </c>
      <c r="F141">
        <v>136.73980897222674</v>
      </c>
      <c r="G141" s="1">
        <f t="shared" si="10"/>
        <v>59.036196242815379</v>
      </c>
      <c r="H141" s="1">
        <f t="shared" si="8"/>
        <v>51.723215999999994</v>
      </c>
      <c r="I141" s="2">
        <f t="shared" si="11"/>
        <v>7.3129802428153852</v>
      </c>
      <c r="J141">
        <f t="shared" si="9"/>
        <v>141</v>
      </c>
    </row>
    <row r="142" spans="2:10" x14ac:dyDescent="0.35">
      <c r="B142">
        <v>142</v>
      </c>
      <c r="C142">
        <v>145.79648280888821</v>
      </c>
      <c r="D142">
        <v>4.6194305</v>
      </c>
      <c r="E142">
        <v>256.66281480888824</v>
      </c>
      <c r="F142">
        <v>139.37644380073073</v>
      </c>
      <c r="G142" s="1">
        <f t="shared" si="10"/>
        <v>117.28637100815752</v>
      </c>
      <c r="H142" s="1">
        <f t="shared" si="8"/>
        <v>110.866332</v>
      </c>
      <c r="I142" s="2">
        <f t="shared" si="11"/>
        <v>6.4200390081575165</v>
      </c>
      <c r="J142">
        <f t="shared" si="9"/>
        <v>142</v>
      </c>
    </row>
    <row r="143" spans="2:10" x14ac:dyDescent="0.35">
      <c r="B143">
        <v>143</v>
      </c>
      <c r="C143">
        <v>146.70006078256156</v>
      </c>
      <c r="D143">
        <v>3.8295943999999995</v>
      </c>
      <c r="E143">
        <v>238.61032638256157</v>
      </c>
      <c r="F143">
        <v>141.75223718564553</v>
      </c>
      <c r="G143" s="1">
        <f t="shared" si="10"/>
        <v>96.85808919691604</v>
      </c>
      <c r="H143" s="1">
        <f t="shared" si="8"/>
        <v>91.910265599999988</v>
      </c>
      <c r="I143" s="2">
        <f t="shared" si="11"/>
        <v>4.9478235969160522</v>
      </c>
      <c r="J143">
        <f t="shared" si="9"/>
        <v>143</v>
      </c>
    </row>
    <row r="144" spans="2:10" x14ac:dyDescent="0.35">
      <c r="B144">
        <v>144</v>
      </c>
      <c r="C144">
        <v>146.96367766052072</v>
      </c>
      <c r="D144">
        <v>4.7556643000000003</v>
      </c>
      <c r="E144">
        <v>261.0996208605207</v>
      </c>
      <c r="F144">
        <v>142.26197492972628</v>
      </c>
      <c r="G144" s="1">
        <f t="shared" si="10"/>
        <v>118.83764593079442</v>
      </c>
      <c r="H144" s="1">
        <f t="shared" si="8"/>
        <v>114.13594320000001</v>
      </c>
      <c r="I144" s="2">
        <f t="shared" si="11"/>
        <v>4.701702730794409</v>
      </c>
      <c r="J144">
        <f t="shared" si="9"/>
        <v>144</v>
      </c>
    </row>
    <row r="145" spans="2:10" x14ac:dyDescent="0.35">
      <c r="B145">
        <v>145</v>
      </c>
      <c r="C145">
        <v>147.75894364152373</v>
      </c>
      <c r="D145">
        <v>3.8352450000000005</v>
      </c>
      <c r="E145">
        <v>239.80482364152374</v>
      </c>
      <c r="F145">
        <v>143.04398013361475</v>
      </c>
      <c r="G145" s="1">
        <f t="shared" si="10"/>
        <v>96.760843507908987</v>
      </c>
      <c r="H145" s="1">
        <f t="shared" si="8"/>
        <v>92.045880000000011</v>
      </c>
      <c r="I145" s="2">
        <f t="shared" si="11"/>
        <v>4.7149635079089762</v>
      </c>
      <c r="J145">
        <f t="shared" si="9"/>
        <v>145</v>
      </c>
    </row>
    <row r="146" spans="2:10" x14ac:dyDescent="0.35">
      <c r="B146">
        <v>146</v>
      </c>
      <c r="C146">
        <v>148.65245899475877</v>
      </c>
      <c r="D146">
        <v>7.6425079999999994</v>
      </c>
      <c r="E146">
        <v>332.07265099475876</v>
      </c>
      <c r="F146">
        <v>144.05278921504211</v>
      </c>
      <c r="G146" s="1">
        <f t="shared" si="10"/>
        <v>188.01986177971665</v>
      </c>
      <c r="H146" s="1">
        <f t="shared" si="8"/>
        <v>183.42019199999999</v>
      </c>
      <c r="I146" s="2">
        <f t="shared" si="11"/>
        <v>4.5996697797166632</v>
      </c>
      <c r="J146">
        <f t="shared" si="9"/>
        <v>146</v>
      </c>
    </row>
    <row r="147" spans="2:10" x14ac:dyDescent="0.35">
      <c r="B147">
        <v>147</v>
      </c>
      <c r="C147">
        <v>151.24384781046717</v>
      </c>
      <c r="D147">
        <v>1.7584251000000002</v>
      </c>
      <c r="E147">
        <v>193.44605021046718</v>
      </c>
      <c r="F147">
        <v>145.79648280888821</v>
      </c>
      <c r="G147" s="1">
        <f t="shared" si="10"/>
        <v>47.649567401578963</v>
      </c>
      <c r="H147" s="1">
        <f t="shared" si="8"/>
        <v>42.202202400000004</v>
      </c>
      <c r="I147" s="2">
        <f t="shared" si="11"/>
        <v>5.4473650015789588</v>
      </c>
      <c r="J147">
        <f t="shared" si="9"/>
        <v>147</v>
      </c>
    </row>
    <row r="148" spans="2:10" x14ac:dyDescent="0.35">
      <c r="B148">
        <v>148</v>
      </c>
      <c r="C148">
        <v>154.08704098884971</v>
      </c>
      <c r="D148">
        <v>4.4413942999999998</v>
      </c>
      <c r="E148">
        <v>260.68050418884968</v>
      </c>
      <c r="F148">
        <v>146.70006078256156</v>
      </c>
      <c r="G148" s="1">
        <f t="shared" si="10"/>
        <v>113.98044340628812</v>
      </c>
      <c r="H148" s="1">
        <f t="shared" si="8"/>
        <v>106.5934632</v>
      </c>
      <c r="I148" s="2">
        <f t="shared" si="11"/>
        <v>7.3869802062881149</v>
      </c>
      <c r="J148">
        <f t="shared" si="9"/>
        <v>148</v>
      </c>
    </row>
    <row r="149" spans="2:10" x14ac:dyDescent="0.35">
      <c r="B149">
        <v>149</v>
      </c>
      <c r="C149">
        <v>154.54200228967392</v>
      </c>
      <c r="D149">
        <v>6.9219774999999997</v>
      </c>
      <c r="E149">
        <v>320.6694622896739</v>
      </c>
      <c r="F149">
        <v>146.96367766052072</v>
      </c>
      <c r="G149" s="1">
        <f t="shared" si="10"/>
        <v>173.70578462915319</v>
      </c>
      <c r="H149" s="1">
        <f t="shared" si="8"/>
        <v>166.12745999999999</v>
      </c>
      <c r="I149" s="2">
        <f t="shared" si="11"/>
        <v>7.5783246291532009</v>
      </c>
      <c r="J149">
        <f t="shared" si="9"/>
        <v>149</v>
      </c>
    </row>
    <row r="150" spans="2:10" x14ac:dyDescent="0.35">
      <c r="B150">
        <v>150</v>
      </c>
      <c r="C150">
        <v>155.98244990310289</v>
      </c>
      <c r="D150">
        <v>3.0653336000000007</v>
      </c>
      <c r="E150">
        <v>229.55045630310292</v>
      </c>
      <c r="F150">
        <v>147.75894364152373</v>
      </c>
      <c r="G150" s="1">
        <f t="shared" si="10"/>
        <v>81.791512661579191</v>
      </c>
      <c r="H150" s="1">
        <f t="shared" si="8"/>
        <v>73.568006400000016</v>
      </c>
      <c r="I150" s="2">
        <f t="shared" si="11"/>
        <v>8.2235062615791747</v>
      </c>
      <c r="J150">
        <f t="shared" si="9"/>
        <v>150</v>
      </c>
    </row>
    <row r="151" spans="2:10" x14ac:dyDescent="0.35">
      <c r="B151">
        <v>151</v>
      </c>
      <c r="C151">
        <v>156.57150956694355</v>
      </c>
      <c r="D151">
        <v>4.1057553000000002</v>
      </c>
      <c r="E151">
        <v>255.10963676694354</v>
      </c>
      <c r="F151">
        <v>148.65245899475877</v>
      </c>
      <c r="G151" s="1">
        <f t="shared" si="10"/>
        <v>106.45717777218476</v>
      </c>
      <c r="H151" s="1">
        <f t="shared" si="8"/>
        <v>98.538127200000005</v>
      </c>
      <c r="I151" s="2">
        <f t="shared" si="11"/>
        <v>7.9190505721847586</v>
      </c>
      <c r="J151">
        <f t="shared" si="9"/>
        <v>151</v>
      </c>
    </row>
    <row r="152" spans="2:10" x14ac:dyDescent="0.35">
      <c r="B152">
        <v>152</v>
      </c>
      <c r="C152">
        <v>157.50620955923523</v>
      </c>
      <c r="D152">
        <v>3.6295595</v>
      </c>
      <c r="E152">
        <v>244.61563755923521</v>
      </c>
      <c r="F152">
        <v>151.24384781046717</v>
      </c>
      <c r="G152" s="1">
        <f t="shared" si="10"/>
        <v>93.371789748768037</v>
      </c>
      <c r="H152" s="1">
        <f t="shared" si="8"/>
        <v>87.109428000000008</v>
      </c>
      <c r="I152" s="2">
        <f t="shared" si="11"/>
        <v>6.2623617487680292</v>
      </c>
      <c r="J152">
        <f t="shared" si="9"/>
        <v>152</v>
      </c>
    </row>
    <row r="153" spans="2:10" x14ac:dyDescent="0.35">
      <c r="B153">
        <v>153</v>
      </c>
      <c r="C153">
        <v>157.83923074598297</v>
      </c>
      <c r="D153">
        <v>4.917338</v>
      </c>
      <c r="E153">
        <v>275.85534274598297</v>
      </c>
      <c r="F153">
        <v>154.08704098884971</v>
      </c>
      <c r="G153" s="1">
        <f t="shared" si="10"/>
        <v>121.76830175713326</v>
      </c>
      <c r="H153" s="1">
        <f t="shared" si="8"/>
        <v>118.01611199999999</v>
      </c>
      <c r="I153" s="2">
        <f t="shared" si="11"/>
        <v>3.7521897571332659</v>
      </c>
      <c r="J153">
        <f t="shared" si="9"/>
        <v>153</v>
      </c>
    </row>
    <row r="154" spans="2:10" x14ac:dyDescent="0.35">
      <c r="B154">
        <v>154</v>
      </c>
      <c r="C154">
        <v>159.55068194563694</v>
      </c>
      <c r="D154">
        <v>5.7825139999999999</v>
      </c>
      <c r="E154">
        <v>298.33101794563697</v>
      </c>
      <c r="F154">
        <v>154.54200228967392</v>
      </c>
      <c r="G154" s="1">
        <f t="shared" si="10"/>
        <v>143.78901565596306</v>
      </c>
      <c r="H154" s="1">
        <f t="shared" si="8"/>
        <v>138.78033600000001</v>
      </c>
      <c r="I154" s="2">
        <f t="shared" si="11"/>
        <v>5.00867965596305</v>
      </c>
      <c r="J154">
        <f t="shared" si="9"/>
        <v>154</v>
      </c>
    </row>
    <row r="155" spans="2:10" x14ac:dyDescent="0.35">
      <c r="B155">
        <v>155</v>
      </c>
      <c r="C155">
        <v>160.50403162804304</v>
      </c>
      <c r="D155">
        <v>2.3708398000000002</v>
      </c>
      <c r="E155">
        <v>217.40418682804304</v>
      </c>
      <c r="F155">
        <v>155.98244990310289</v>
      </c>
      <c r="G155" s="1">
        <f t="shared" si="10"/>
        <v>61.421736924940149</v>
      </c>
      <c r="H155" s="1">
        <f t="shared" si="8"/>
        <v>56.9001552</v>
      </c>
      <c r="I155" s="2">
        <f t="shared" si="11"/>
        <v>4.5215817249401482</v>
      </c>
      <c r="J155">
        <f t="shared" si="9"/>
        <v>155</v>
      </c>
    </row>
    <row r="156" spans="2:10" x14ac:dyDescent="0.35">
      <c r="B156">
        <v>156</v>
      </c>
      <c r="C156">
        <v>161.03192978613805</v>
      </c>
      <c r="D156">
        <v>6.372439</v>
      </c>
      <c r="E156">
        <v>313.97046578613805</v>
      </c>
      <c r="F156">
        <v>156.57150956694355</v>
      </c>
      <c r="G156" s="1">
        <f t="shared" si="10"/>
        <v>157.3989562191945</v>
      </c>
      <c r="H156" s="1">
        <f t="shared" si="8"/>
        <v>152.938536</v>
      </c>
      <c r="I156" s="2">
        <f t="shared" si="11"/>
        <v>4.4604202191945035</v>
      </c>
      <c r="J156">
        <f t="shared" si="9"/>
        <v>156</v>
      </c>
    </row>
    <row r="157" spans="2:10" x14ac:dyDescent="0.35">
      <c r="B157">
        <v>157</v>
      </c>
      <c r="C157">
        <v>163.04568172793986</v>
      </c>
      <c r="D157">
        <v>6.5185740000000001</v>
      </c>
      <c r="E157">
        <v>319.49145772793986</v>
      </c>
      <c r="F157">
        <v>157.50620955923523</v>
      </c>
      <c r="G157" s="1">
        <f t="shared" si="10"/>
        <v>161.98524816870463</v>
      </c>
      <c r="H157" s="1">
        <f t="shared" si="8"/>
        <v>156.445776</v>
      </c>
      <c r="I157" s="2">
        <f t="shared" si="11"/>
        <v>5.5394721687046342</v>
      </c>
      <c r="J157">
        <f t="shared" si="9"/>
        <v>157</v>
      </c>
    </row>
    <row r="158" spans="2:10" x14ac:dyDescent="0.35">
      <c r="B158">
        <v>158</v>
      </c>
      <c r="C158">
        <v>163.2825071949901</v>
      </c>
      <c r="D158">
        <v>3.9071423999999997</v>
      </c>
      <c r="E158">
        <v>257.05392479499011</v>
      </c>
      <c r="F158">
        <v>157.83923074598297</v>
      </c>
      <c r="G158" s="1">
        <f t="shared" si="10"/>
        <v>99.214694049007136</v>
      </c>
      <c r="H158" s="1">
        <f t="shared" si="8"/>
        <v>93.771417599999992</v>
      </c>
      <c r="I158" s="2">
        <f t="shared" si="11"/>
        <v>5.4432764490071435</v>
      </c>
      <c r="J158">
        <f t="shared" si="9"/>
        <v>158</v>
      </c>
    </row>
    <row r="159" spans="2:10" x14ac:dyDescent="0.35">
      <c r="B159">
        <v>159</v>
      </c>
      <c r="C159">
        <v>164.08993056982189</v>
      </c>
      <c r="D159">
        <v>3.9398958999999998</v>
      </c>
      <c r="E159">
        <v>258.64743216982185</v>
      </c>
      <c r="F159">
        <v>159.55068194563694</v>
      </c>
      <c r="G159" s="1">
        <f t="shared" si="10"/>
        <v>99.096750224184916</v>
      </c>
      <c r="H159" s="1">
        <f t="shared" si="8"/>
        <v>94.557501599999995</v>
      </c>
      <c r="I159" s="2">
        <f t="shared" si="11"/>
        <v>4.5392486241849213</v>
      </c>
      <c r="J159">
        <f t="shared" si="9"/>
        <v>159</v>
      </c>
    </row>
    <row r="160" spans="2:10" x14ac:dyDescent="0.35">
      <c r="B160">
        <v>160</v>
      </c>
      <c r="C160">
        <v>164.24714859087635</v>
      </c>
      <c r="D160">
        <v>6.1348950000000002</v>
      </c>
      <c r="E160">
        <v>311.48462859087635</v>
      </c>
      <c r="F160">
        <v>160.50403162804304</v>
      </c>
      <c r="G160" s="1">
        <f t="shared" si="10"/>
        <v>150.98059696283332</v>
      </c>
      <c r="H160" s="1">
        <f t="shared" si="8"/>
        <v>147.23748000000001</v>
      </c>
      <c r="I160" s="2">
        <f t="shared" si="11"/>
        <v>3.7431169628333123</v>
      </c>
      <c r="J160">
        <f t="shared" si="9"/>
        <v>160</v>
      </c>
    </row>
    <row r="161" spans="2:10" x14ac:dyDescent="0.35">
      <c r="B161">
        <v>161</v>
      </c>
      <c r="C161">
        <v>165.39555400951983</v>
      </c>
      <c r="D161">
        <v>3.8321888</v>
      </c>
      <c r="E161">
        <v>257.36808520951985</v>
      </c>
      <c r="F161">
        <v>161.03192978613805</v>
      </c>
      <c r="G161" s="1">
        <f t="shared" si="10"/>
        <v>96.336155423381797</v>
      </c>
      <c r="H161" s="1">
        <f t="shared" si="8"/>
        <v>91.972531199999992</v>
      </c>
      <c r="I161" s="2">
        <f t="shared" si="11"/>
        <v>4.3636242233818052</v>
      </c>
      <c r="J161">
        <f t="shared" si="9"/>
        <v>161</v>
      </c>
    </row>
    <row r="162" spans="2:10" x14ac:dyDescent="0.35">
      <c r="B162">
        <v>162</v>
      </c>
      <c r="C162">
        <v>165.40259628391689</v>
      </c>
      <c r="D162">
        <v>4.6054919999999999</v>
      </c>
      <c r="E162">
        <v>275.93440428391688</v>
      </c>
      <c r="F162">
        <v>163.04568172793986</v>
      </c>
      <c r="G162" s="1">
        <f t="shared" si="10"/>
        <v>112.88872255597701</v>
      </c>
      <c r="H162" s="1">
        <f t="shared" si="8"/>
        <v>110.531808</v>
      </c>
      <c r="I162" s="2">
        <f t="shared" si="11"/>
        <v>2.3569145559770135</v>
      </c>
      <c r="J162">
        <f t="shared" si="9"/>
        <v>162</v>
      </c>
    </row>
    <row r="163" spans="2:10" x14ac:dyDescent="0.35">
      <c r="B163">
        <v>163</v>
      </c>
      <c r="C163">
        <v>166.13256773631883</v>
      </c>
      <c r="D163">
        <v>3.6799686000000005</v>
      </c>
      <c r="E163">
        <v>254.45181413631883</v>
      </c>
      <c r="F163">
        <v>163.2825071949901</v>
      </c>
      <c r="G163" s="1">
        <f t="shared" si="10"/>
        <v>91.169306941328728</v>
      </c>
      <c r="H163" s="1">
        <f t="shared" si="8"/>
        <v>88.319246400000011</v>
      </c>
      <c r="I163" s="2">
        <f t="shared" si="11"/>
        <v>2.8500605413287161</v>
      </c>
      <c r="J163">
        <f t="shared" si="9"/>
        <v>163</v>
      </c>
    </row>
    <row r="164" spans="2:10" x14ac:dyDescent="0.35">
      <c r="B164">
        <v>164</v>
      </c>
      <c r="C164">
        <v>167.32086699146717</v>
      </c>
      <c r="D164">
        <v>4.7114859999999998</v>
      </c>
      <c r="E164">
        <v>280.39653099146716</v>
      </c>
      <c r="F164">
        <v>164.08993056982189</v>
      </c>
      <c r="G164" s="1">
        <f t="shared" si="10"/>
        <v>116.30660042164527</v>
      </c>
      <c r="H164" s="1">
        <f t="shared" si="8"/>
        <v>113.07566399999999</v>
      </c>
      <c r="I164" s="2">
        <f t="shared" si="11"/>
        <v>3.2309364216452821</v>
      </c>
      <c r="J164">
        <f t="shared" si="9"/>
        <v>164</v>
      </c>
    </row>
    <row r="165" spans="2:10" x14ac:dyDescent="0.35">
      <c r="B165">
        <v>165</v>
      </c>
      <c r="C165">
        <v>167.73891000080403</v>
      </c>
      <c r="D165">
        <v>4.1758540000000002</v>
      </c>
      <c r="E165">
        <v>267.95940600080405</v>
      </c>
      <c r="F165">
        <v>164.24714859087635</v>
      </c>
      <c r="G165" s="1">
        <f t="shared" si="10"/>
        <v>103.7122574099277</v>
      </c>
      <c r="H165" s="1">
        <f t="shared" si="8"/>
        <v>100.220496</v>
      </c>
      <c r="I165" s="2">
        <f t="shared" si="11"/>
        <v>3.4917614099277046</v>
      </c>
      <c r="J165">
        <f t="shared" si="9"/>
        <v>165</v>
      </c>
    </row>
    <row r="166" spans="2:10" x14ac:dyDescent="0.35">
      <c r="B166">
        <v>166</v>
      </c>
      <c r="C166">
        <v>170.70210210483845</v>
      </c>
      <c r="D166">
        <v>2.3597077999999998</v>
      </c>
      <c r="E166">
        <v>227.33508930483845</v>
      </c>
      <c r="F166">
        <v>165.39555400951983</v>
      </c>
      <c r="G166" s="1">
        <f t="shared" si="10"/>
        <v>61.93953529531862</v>
      </c>
      <c r="H166" s="1">
        <f t="shared" si="8"/>
        <v>56.632987199999995</v>
      </c>
      <c r="I166" s="2">
        <f t="shared" si="11"/>
        <v>5.3065480953186253</v>
      </c>
      <c r="J166">
        <f t="shared" si="9"/>
        <v>166</v>
      </c>
    </row>
    <row r="167" spans="2:10" x14ac:dyDescent="0.35">
      <c r="B167">
        <v>167</v>
      </c>
      <c r="C167">
        <v>172.75676038904155</v>
      </c>
      <c r="D167">
        <v>6.6876483000000002</v>
      </c>
      <c r="E167">
        <v>333.26031958904156</v>
      </c>
      <c r="F167">
        <v>165.40259628391689</v>
      </c>
      <c r="G167" s="1">
        <f t="shared" si="10"/>
        <v>167.85772330512467</v>
      </c>
      <c r="H167" s="1">
        <f t="shared" si="8"/>
        <v>160.50355920000001</v>
      </c>
      <c r="I167" s="2">
        <f t="shared" si="11"/>
        <v>7.3541641051246529</v>
      </c>
      <c r="J167">
        <f t="shared" si="9"/>
        <v>167</v>
      </c>
    </row>
    <row r="168" spans="2:10" x14ac:dyDescent="0.35">
      <c r="B168">
        <v>168</v>
      </c>
      <c r="C168">
        <v>173.26433277973487</v>
      </c>
      <c r="D168">
        <v>3.9682070999999999</v>
      </c>
      <c r="E168">
        <v>268.50130317973486</v>
      </c>
      <c r="F168">
        <v>166.13256773631883</v>
      </c>
      <c r="G168" s="1">
        <f t="shared" si="10"/>
        <v>102.36873544341603</v>
      </c>
      <c r="H168" s="1">
        <f t="shared" si="8"/>
        <v>95.23697039999999</v>
      </c>
      <c r="I168" s="2">
        <f t="shared" si="11"/>
        <v>7.1317650434160385</v>
      </c>
      <c r="J168">
        <f t="shared" si="9"/>
        <v>168</v>
      </c>
    </row>
    <row r="169" spans="2:10" x14ac:dyDescent="0.35">
      <c r="B169">
        <v>169</v>
      </c>
      <c r="C169">
        <v>173.51792851648923</v>
      </c>
      <c r="D169">
        <v>1.9703653000000001</v>
      </c>
      <c r="E169">
        <v>220.80669571648923</v>
      </c>
      <c r="F169">
        <v>167.32086699146717</v>
      </c>
      <c r="G169" s="1">
        <f t="shared" si="10"/>
        <v>53.48582872502206</v>
      </c>
      <c r="H169" s="1">
        <f t="shared" si="8"/>
        <v>47.288767200000002</v>
      </c>
      <c r="I169" s="2">
        <f t="shared" si="11"/>
        <v>6.1970615250220575</v>
      </c>
      <c r="J169">
        <f t="shared" si="9"/>
        <v>169</v>
      </c>
    </row>
    <row r="170" spans="2:10" x14ac:dyDescent="0.35">
      <c r="B170">
        <v>170</v>
      </c>
      <c r="C170">
        <v>175.65658129130841</v>
      </c>
      <c r="D170">
        <v>2.0883297999999999</v>
      </c>
      <c r="E170">
        <v>225.77649649130842</v>
      </c>
      <c r="F170">
        <v>167.73891000080403</v>
      </c>
      <c r="G170" s="1">
        <f t="shared" si="10"/>
        <v>58.037586490504395</v>
      </c>
      <c r="H170" s="1">
        <f t="shared" si="8"/>
        <v>50.119915199999994</v>
      </c>
      <c r="I170" s="2">
        <f t="shared" si="11"/>
        <v>7.9176712905044013</v>
      </c>
      <c r="J170">
        <f t="shared" si="9"/>
        <v>170</v>
      </c>
    </row>
    <row r="171" spans="2:10" x14ac:dyDescent="0.35">
      <c r="B171">
        <v>171</v>
      </c>
      <c r="C171">
        <v>175.70237441404819</v>
      </c>
      <c r="D171">
        <v>4.8078830000000004</v>
      </c>
      <c r="E171">
        <v>291.0915664140482</v>
      </c>
      <c r="F171">
        <v>170.70210210483845</v>
      </c>
      <c r="G171" s="1">
        <f t="shared" si="10"/>
        <v>120.38946430920976</v>
      </c>
      <c r="H171" s="1">
        <f t="shared" si="8"/>
        <v>115.38919200000001</v>
      </c>
      <c r="I171" s="2">
        <f t="shared" si="11"/>
        <v>5.0002723092097483</v>
      </c>
      <c r="J171">
        <f t="shared" si="9"/>
        <v>171</v>
      </c>
    </row>
    <row r="172" spans="2:10" x14ac:dyDescent="0.35">
      <c r="B172">
        <v>172</v>
      </c>
      <c r="C172">
        <v>178.61014973454405</v>
      </c>
      <c r="D172">
        <v>2.3767415999999999</v>
      </c>
      <c r="E172">
        <v>235.65194813454406</v>
      </c>
      <c r="F172">
        <v>172.75676038904155</v>
      </c>
      <c r="G172" s="1">
        <f t="shared" si="10"/>
        <v>62.895187745502511</v>
      </c>
      <c r="H172" s="1">
        <f t="shared" si="8"/>
        <v>57.041798399999998</v>
      </c>
      <c r="I172" s="2">
        <f t="shared" si="11"/>
        <v>5.8533893455025137</v>
      </c>
      <c r="J172">
        <f t="shared" si="9"/>
        <v>172</v>
      </c>
    </row>
    <row r="173" spans="2:10" x14ac:dyDescent="0.35">
      <c r="B173">
        <v>173</v>
      </c>
      <c r="C173">
        <v>187.16786934010435</v>
      </c>
      <c r="D173">
        <v>1.0057802000000002</v>
      </c>
      <c r="E173">
        <v>211.30659414010435</v>
      </c>
      <c r="F173">
        <v>173.26433277973487</v>
      </c>
      <c r="G173" s="1">
        <f t="shared" si="10"/>
        <v>38.04226136036948</v>
      </c>
      <c r="H173" s="1">
        <f t="shared" si="8"/>
        <v>24.138724800000006</v>
      </c>
      <c r="I173" s="2">
        <f t="shared" si="11"/>
        <v>13.903536560369474</v>
      </c>
      <c r="J173">
        <f t="shared" si="9"/>
        <v>173</v>
      </c>
    </row>
    <row r="174" spans="2:10" x14ac:dyDescent="0.35">
      <c r="B174">
        <v>174</v>
      </c>
      <c r="C174">
        <v>190.78206879461402</v>
      </c>
      <c r="D174">
        <v>3.0844361999999999</v>
      </c>
      <c r="E174">
        <v>264.80853759461399</v>
      </c>
      <c r="F174">
        <v>173.51792851648923</v>
      </c>
      <c r="G174" s="1">
        <f t="shared" si="10"/>
        <v>91.29060907812476</v>
      </c>
      <c r="H174" s="1">
        <f t="shared" si="8"/>
        <v>74.026468800000004</v>
      </c>
      <c r="I174" s="2">
        <f t="shared" si="11"/>
        <v>17.264140278124756</v>
      </c>
      <c r="J174">
        <f t="shared" si="9"/>
        <v>174</v>
      </c>
    </row>
    <row r="175" spans="2:10" x14ac:dyDescent="0.35">
      <c r="B175">
        <v>175</v>
      </c>
      <c r="C175">
        <v>193.44605021046718</v>
      </c>
      <c r="D175">
        <v>1.1929067</v>
      </c>
      <c r="E175">
        <v>222.07581101046719</v>
      </c>
      <c r="F175">
        <v>175.65658129130841</v>
      </c>
      <c r="G175" s="1">
        <f t="shared" si="10"/>
        <v>46.419229719158778</v>
      </c>
      <c r="H175" s="1">
        <f t="shared" si="8"/>
        <v>28.6297608</v>
      </c>
      <c r="I175" s="2">
        <f t="shared" si="11"/>
        <v>17.789468919158779</v>
      </c>
      <c r="J175">
        <f t="shared" si="9"/>
        <v>175</v>
      </c>
    </row>
    <row r="176" spans="2:10" x14ac:dyDescent="0.35">
      <c r="B176">
        <v>176</v>
      </c>
      <c r="C176">
        <v>193.85597723532311</v>
      </c>
      <c r="D176">
        <v>7.6409339999999997</v>
      </c>
      <c r="E176">
        <v>377.23839323532309</v>
      </c>
      <c r="F176">
        <v>175.70237441404819</v>
      </c>
      <c r="G176" s="1">
        <f t="shared" si="10"/>
        <v>201.53601882127489</v>
      </c>
      <c r="H176" s="1">
        <f t="shared" si="8"/>
        <v>183.38241599999998</v>
      </c>
      <c r="I176" s="2">
        <f t="shared" si="11"/>
        <v>18.153602821274916</v>
      </c>
      <c r="J176">
        <f t="shared" si="9"/>
        <v>176</v>
      </c>
    </row>
    <row r="177" spans="2:10" x14ac:dyDescent="0.35">
      <c r="B177">
        <v>177</v>
      </c>
      <c r="C177">
        <v>195.77600521504212</v>
      </c>
      <c r="D177">
        <v>7.4396667000000001</v>
      </c>
      <c r="E177">
        <v>374.32800601504209</v>
      </c>
      <c r="F177">
        <v>178.61014973454405</v>
      </c>
      <c r="G177" s="1">
        <f t="shared" si="10"/>
        <v>195.71785628049804</v>
      </c>
      <c r="H177" s="1">
        <f t="shared" si="8"/>
        <v>178.5520008</v>
      </c>
      <c r="I177" s="2">
        <f t="shared" si="11"/>
        <v>17.165855480498038</v>
      </c>
      <c r="J177">
        <f t="shared" si="9"/>
        <v>177</v>
      </c>
    </row>
    <row r="178" spans="2:10" x14ac:dyDescent="0.35">
      <c r="B178">
        <v>178</v>
      </c>
      <c r="C178">
        <v>196.19099718888555</v>
      </c>
      <c r="D178">
        <v>6.1244407000000001</v>
      </c>
      <c r="E178">
        <v>343.17757398888557</v>
      </c>
      <c r="F178">
        <v>187.16786934010435</v>
      </c>
      <c r="G178" s="1">
        <f t="shared" si="10"/>
        <v>156.00970464878122</v>
      </c>
      <c r="H178" s="1">
        <f t="shared" si="8"/>
        <v>146.98657679999999</v>
      </c>
      <c r="I178" s="2">
        <f t="shared" si="11"/>
        <v>9.023127848781229</v>
      </c>
      <c r="J178">
        <f t="shared" si="9"/>
        <v>178</v>
      </c>
    </row>
    <row r="179" spans="2:10" x14ac:dyDescent="0.35">
      <c r="B179">
        <v>179</v>
      </c>
      <c r="C179">
        <v>197.07832475060849</v>
      </c>
      <c r="D179">
        <v>3.6121441999999995</v>
      </c>
      <c r="E179">
        <v>283.7697855506085</v>
      </c>
      <c r="F179">
        <v>190.78206879461402</v>
      </c>
      <c r="G179" s="1">
        <f t="shared" si="10"/>
        <v>92.987716755994484</v>
      </c>
      <c r="H179" s="1">
        <f t="shared" si="8"/>
        <v>86.691460799999987</v>
      </c>
      <c r="I179" s="2">
        <f t="shared" si="11"/>
        <v>6.2962559559944964</v>
      </c>
      <c r="J179">
        <f t="shared" si="9"/>
        <v>179</v>
      </c>
    </row>
    <row r="180" spans="2:10" x14ac:dyDescent="0.35">
      <c r="B180">
        <v>180</v>
      </c>
      <c r="C180">
        <v>199.98210185109417</v>
      </c>
      <c r="D180">
        <v>3.4973235000000003</v>
      </c>
      <c r="E180">
        <v>283.91786585109418</v>
      </c>
      <c r="F180">
        <v>193.44605021046718</v>
      </c>
      <c r="G180" s="1">
        <f t="shared" si="10"/>
        <v>90.471815640627</v>
      </c>
      <c r="H180" s="1">
        <f t="shared" si="8"/>
        <v>83.935764000000006</v>
      </c>
      <c r="I180" s="2">
        <f t="shared" si="11"/>
        <v>6.5360516406269937</v>
      </c>
      <c r="J180">
        <f t="shared" si="9"/>
        <v>180</v>
      </c>
    </row>
    <row r="181" spans="2:10" x14ac:dyDescent="0.35">
      <c r="B181">
        <v>181</v>
      </c>
      <c r="C181">
        <v>202.839849500095</v>
      </c>
      <c r="D181">
        <v>3.6978111</v>
      </c>
      <c r="E181">
        <v>291.58731590009501</v>
      </c>
      <c r="F181">
        <v>193.85597723532311</v>
      </c>
      <c r="G181" s="1">
        <f t="shared" si="10"/>
        <v>97.731338664771897</v>
      </c>
      <c r="H181" s="1">
        <f t="shared" si="8"/>
        <v>88.747466400000008</v>
      </c>
      <c r="I181" s="2">
        <f t="shared" si="11"/>
        <v>8.9838722647718896</v>
      </c>
      <c r="J181">
        <f t="shared" si="9"/>
        <v>181</v>
      </c>
    </row>
    <row r="182" spans="2:10" x14ac:dyDescent="0.35">
      <c r="B182">
        <v>182</v>
      </c>
      <c r="C182">
        <v>204.96304902242633</v>
      </c>
      <c r="D182">
        <v>5.7276464000000002</v>
      </c>
      <c r="E182">
        <v>342.42656262242633</v>
      </c>
      <c r="F182">
        <v>195.77600521504212</v>
      </c>
      <c r="G182" s="1">
        <f t="shared" si="10"/>
        <v>146.65055740738421</v>
      </c>
      <c r="H182" s="1">
        <f t="shared" si="8"/>
        <v>137.4635136</v>
      </c>
      <c r="I182" s="2">
        <f t="shared" si="11"/>
        <v>9.1870438073842138</v>
      </c>
      <c r="J182">
        <f t="shared" si="9"/>
        <v>182</v>
      </c>
    </row>
    <row r="183" spans="2:10" x14ac:dyDescent="0.35">
      <c r="B183">
        <v>183</v>
      </c>
      <c r="C183">
        <v>206.54495661230163</v>
      </c>
      <c r="D183">
        <v>4.5747885999999998</v>
      </c>
      <c r="E183">
        <v>316.33988301230164</v>
      </c>
      <c r="F183">
        <v>196.19099718888555</v>
      </c>
      <c r="G183" s="1">
        <f t="shared" si="10"/>
        <v>120.14888582341609</v>
      </c>
      <c r="H183" s="1">
        <f t="shared" si="8"/>
        <v>109.79492639999999</v>
      </c>
      <c r="I183" s="2">
        <f t="shared" si="11"/>
        <v>10.3539594234161</v>
      </c>
      <c r="J183">
        <f t="shared" si="9"/>
        <v>183</v>
      </c>
    </row>
    <row r="184" spans="2:10" x14ac:dyDescent="0.35">
      <c r="B184">
        <v>184</v>
      </c>
      <c r="C184">
        <v>208.62196893361477</v>
      </c>
      <c r="D184">
        <v>3.7840816999999998</v>
      </c>
      <c r="E184">
        <v>299.43992973361475</v>
      </c>
      <c r="F184">
        <v>197.07832475060849</v>
      </c>
      <c r="G184" s="1">
        <f t="shared" si="10"/>
        <v>102.36160498300626</v>
      </c>
      <c r="H184" s="1">
        <f t="shared" si="8"/>
        <v>90.817960799999994</v>
      </c>
      <c r="I184" s="2">
        <f t="shared" si="11"/>
        <v>11.543644183006265</v>
      </c>
      <c r="J184">
        <f t="shared" si="9"/>
        <v>184</v>
      </c>
    </row>
    <row r="185" spans="2:10" x14ac:dyDescent="0.35">
      <c r="B185">
        <v>185</v>
      </c>
      <c r="C185">
        <v>209.25694331809444</v>
      </c>
      <c r="D185">
        <v>5.6308284000000004</v>
      </c>
      <c r="E185">
        <v>344.39682491809447</v>
      </c>
      <c r="F185">
        <v>199.98210185109417</v>
      </c>
      <c r="G185" s="1">
        <f t="shared" si="10"/>
        <v>144.4147230670003</v>
      </c>
      <c r="H185" s="1">
        <f t="shared" si="8"/>
        <v>135.13988160000002</v>
      </c>
      <c r="I185" s="2">
        <f t="shared" si="11"/>
        <v>9.2748414670002717</v>
      </c>
      <c r="J185">
        <f t="shared" si="9"/>
        <v>185</v>
      </c>
    </row>
    <row r="186" spans="2:10" x14ac:dyDescent="0.35">
      <c r="B186">
        <v>186</v>
      </c>
      <c r="C186">
        <v>209.90238930474638</v>
      </c>
      <c r="D186">
        <v>4.8490510000000002</v>
      </c>
      <c r="E186">
        <v>326.27961330474636</v>
      </c>
      <c r="F186">
        <v>202.839849500095</v>
      </c>
      <c r="G186" s="1">
        <f t="shared" si="10"/>
        <v>123.43976380465136</v>
      </c>
      <c r="H186" s="1">
        <f t="shared" si="8"/>
        <v>116.37722400000001</v>
      </c>
      <c r="I186" s="2">
        <f t="shared" si="11"/>
        <v>7.062539804651351</v>
      </c>
      <c r="J186">
        <f t="shared" si="9"/>
        <v>186</v>
      </c>
    </row>
    <row r="187" spans="2:10" x14ac:dyDescent="0.35">
      <c r="B187">
        <v>187</v>
      </c>
      <c r="C187">
        <v>210.43104137147137</v>
      </c>
      <c r="D187">
        <v>1.9052318000000001</v>
      </c>
      <c r="E187">
        <v>256.15660457147135</v>
      </c>
      <c r="F187">
        <v>204.96304902242633</v>
      </c>
      <c r="G187" s="1">
        <f t="shared" si="10"/>
        <v>51.193555549045016</v>
      </c>
      <c r="H187" s="1">
        <f t="shared" si="8"/>
        <v>45.725563200000003</v>
      </c>
      <c r="I187" s="2">
        <f t="shared" si="11"/>
        <v>5.4679923490450122</v>
      </c>
      <c r="J187">
        <f t="shared" si="9"/>
        <v>187</v>
      </c>
    </row>
    <row r="188" spans="2:10" x14ac:dyDescent="0.35">
      <c r="B188">
        <v>188</v>
      </c>
      <c r="C188">
        <v>211.30659414010435</v>
      </c>
      <c r="D188">
        <v>4.5856979999999998</v>
      </c>
      <c r="E188">
        <v>321.36334614010434</v>
      </c>
      <c r="F188">
        <v>206.54495661230163</v>
      </c>
      <c r="G188" s="1">
        <f t="shared" si="10"/>
        <v>114.81838952780271</v>
      </c>
      <c r="H188" s="1">
        <f t="shared" si="8"/>
        <v>110.05675199999999</v>
      </c>
      <c r="I188" s="2">
        <f t="shared" si="11"/>
        <v>4.7616375278027192</v>
      </c>
      <c r="J188">
        <f t="shared" si="9"/>
        <v>188</v>
      </c>
    </row>
    <row r="189" spans="2:10" x14ac:dyDescent="0.35">
      <c r="B189">
        <v>189</v>
      </c>
      <c r="C189">
        <v>211.75012026348867</v>
      </c>
      <c r="D189">
        <v>5.3153980000000001</v>
      </c>
      <c r="E189">
        <v>339.31967226348866</v>
      </c>
      <c r="F189">
        <v>208.62196893361477</v>
      </c>
      <c r="G189" s="1">
        <f t="shared" si="10"/>
        <v>130.69770332987389</v>
      </c>
      <c r="H189" s="1">
        <f t="shared" si="8"/>
        <v>127.569552</v>
      </c>
      <c r="I189" s="2">
        <f t="shared" si="11"/>
        <v>3.1281513298738872</v>
      </c>
      <c r="J189">
        <f t="shared" si="9"/>
        <v>189</v>
      </c>
    </row>
    <row r="190" spans="2:10" x14ac:dyDescent="0.35">
      <c r="B190">
        <v>190</v>
      </c>
      <c r="C190">
        <v>212.90892796077205</v>
      </c>
      <c r="D190">
        <v>4.1698336999999999</v>
      </c>
      <c r="E190">
        <v>312.98493676077203</v>
      </c>
      <c r="F190">
        <v>209.25694331809444</v>
      </c>
      <c r="G190" s="1">
        <f t="shared" si="10"/>
        <v>103.72799344267759</v>
      </c>
      <c r="H190" s="1">
        <f t="shared" si="8"/>
        <v>100.0760088</v>
      </c>
      <c r="I190" s="2">
        <f t="shared" si="11"/>
        <v>3.6519846426775899</v>
      </c>
      <c r="J190">
        <f t="shared" si="9"/>
        <v>190</v>
      </c>
    </row>
    <row r="191" spans="2:10" x14ac:dyDescent="0.35">
      <c r="B191">
        <v>191</v>
      </c>
      <c r="C191">
        <v>217.40418682804304</v>
      </c>
      <c r="D191">
        <v>5.1442756999999997</v>
      </c>
      <c r="E191">
        <v>340.86680362804304</v>
      </c>
      <c r="F191">
        <v>209.90238930474638</v>
      </c>
      <c r="G191" s="1">
        <f t="shared" si="10"/>
        <v>130.96441432329667</v>
      </c>
      <c r="H191" s="1">
        <f t="shared" si="8"/>
        <v>123.46261679999999</v>
      </c>
      <c r="I191" s="2">
        <f t="shared" si="11"/>
        <v>7.5017975232966734</v>
      </c>
      <c r="J191">
        <f t="shared" si="9"/>
        <v>191</v>
      </c>
    </row>
    <row r="192" spans="2:10" x14ac:dyDescent="0.35">
      <c r="B192">
        <v>192</v>
      </c>
      <c r="C192">
        <v>218.56343564222863</v>
      </c>
      <c r="D192">
        <v>6.0074186000000003</v>
      </c>
      <c r="E192">
        <v>362.74148204222865</v>
      </c>
      <c r="F192">
        <v>210.43104137147137</v>
      </c>
      <c r="G192" s="1">
        <f t="shared" si="10"/>
        <v>152.31044067075729</v>
      </c>
      <c r="H192" s="1">
        <f t="shared" si="8"/>
        <v>144.1780464</v>
      </c>
      <c r="I192" s="2">
        <f t="shared" si="11"/>
        <v>8.1323942707572883</v>
      </c>
      <c r="J192">
        <f t="shared" si="9"/>
        <v>192</v>
      </c>
    </row>
    <row r="193" spans="2:10" x14ac:dyDescent="0.35">
      <c r="B193">
        <v>193</v>
      </c>
      <c r="C193">
        <v>220.80669571648923</v>
      </c>
      <c r="D193">
        <v>7.8776937</v>
      </c>
      <c r="E193">
        <v>409.87134451648922</v>
      </c>
      <c r="F193">
        <v>211.30659414010435</v>
      </c>
      <c r="G193" s="1">
        <f t="shared" si="10"/>
        <v>198.56475037638486</v>
      </c>
      <c r="H193" s="1">
        <f t="shared" si="8"/>
        <v>189.06464879999999</v>
      </c>
      <c r="I193" s="2">
        <f t="shared" si="11"/>
        <v>9.5001015763848784</v>
      </c>
      <c r="J193">
        <f t="shared" si="9"/>
        <v>193</v>
      </c>
    </row>
    <row r="194" spans="2:10" x14ac:dyDescent="0.35">
      <c r="B194">
        <v>194</v>
      </c>
      <c r="C194">
        <v>222.07581101046719</v>
      </c>
      <c r="D194">
        <v>1.8553503</v>
      </c>
      <c r="E194">
        <v>266.6042182104672</v>
      </c>
      <c r="F194">
        <v>211.75012026348867</v>
      </c>
      <c r="G194" s="1">
        <f t="shared" si="10"/>
        <v>54.854097946978527</v>
      </c>
      <c r="H194" s="1">
        <f t="shared" ref="H194:H257" si="12">D194*24</f>
        <v>44.528407200000004</v>
      </c>
      <c r="I194" s="2">
        <f t="shared" si="11"/>
        <v>10.325690746978523</v>
      </c>
      <c r="J194">
        <f t="shared" ref="J194:J257" si="13">B194</f>
        <v>194</v>
      </c>
    </row>
    <row r="195" spans="2:10" x14ac:dyDescent="0.35">
      <c r="B195">
        <v>195</v>
      </c>
      <c r="C195">
        <v>222.88509052786961</v>
      </c>
      <c r="D195">
        <v>4.7643399999999998</v>
      </c>
      <c r="E195">
        <v>337.22925052786957</v>
      </c>
      <c r="F195">
        <v>212.90892796077205</v>
      </c>
      <c r="G195" s="1">
        <f t="shared" ref="G195:G258" si="14">E195-F195</f>
        <v>124.32032256709752</v>
      </c>
      <c r="H195" s="1">
        <f t="shared" si="12"/>
        <v>114.34415999999999</v>
      </c>
      <c r="I195" s="2">
        <f t="shared" ref="I195:I258" si="15">G195-H195</f>
        <v>9.976162567097532</v>
      </c>
      <c r="J195">
        <f t="shared" si="13"/>
        <v>195</v>
      </c>
    </row>
    <row r="196" spans="2:10" x14ac:dyDescent="0.35">
      <c r="B196">
        <v>196</v>
      </c>
      <c r="C196">
        <v>223.18047148253768</v>
      </c>
      <c r="D196">
        <v>0.99427149999999997</v>
      </c>
      <c r="E196">
        <v>247.04298748253768</v>
      </c>
      <c r="F196">
        <v>217.40418682804304</v>
      </c>
      <c r="G196" s="1">
        <f t="shared" si="14"/>
        <v>29.638800654494645</v>
      </c>
      <c r="H196" s="1">
        <f t="shared" si="12"/>
        <v>23.862515999999999</v>
      </c>
      <c r="I196" s="2">
        <f t="shared" si="15"/>
        <v>5.7762846544946456</v>
      </c>
      <c r="J196">
        <f t="shared" si="13"/>
        <v>196</v>
      </c>
    </row>
    <row r="197" spans="2:10" x14ac:dyDescent="0.35">
      <c r="B197">
        <v>197</v>
      </c>
      <c r="C197">
        <v>225.77649649130842</v>
      </c>
      <c r="D197">
        <v>0.8950426600000001</v>
      </c>
      <c r="E197">
        <v>247.25752033130843</v>
      </c>
      <c r="F197">
        <v>218.56343564222863</v>
      </c>
      <c r="G197" s="1">
        <f t="shared" si="14"/>
        <v>28.694084689079801</v>
      </c>
      <c r="H197" s="1">
        <f t="shared" si="12"/>
        <v>21.481023840000002</v>
      </c>
      <c r="I197" s="2">
        <f t="shared" si="15"/>
        <v>7.2130608490797989</v>
      </c>
      <c r="J197">
        <f t="shared" si="13"/>
        <v>197</v>
      </c>
    </row>
    <row r="198" spans="2:10" x14ac:dyDescent="0.35">
      <c r="B198">
        <v>198</v>
      </c>
      <c r="C198">
        <v>225.80842977395216</v>
      </c>
      <c r="D198">
        <v>1.2757300000000003</v>
      </c>
      <c r="E198">
        <v>256.42594977395214</v>
      </c>
      <c r="F198">
        <v>220.80669571648923</v>
      </c>
      <c r="G198" s="1">
        <f t="shared" si="14"/>
        <v>35.619254057462911</v>
      </c>
      <c r="H198" s="1">
        <f t="shared" si="12"/>
        <v>30.617520000000006</v>
      </c>
      <c r="I198" s="2">
        <f t="shared" si="15"/>
        <v>5.0017340574629046</v>
      </c>
      <c r="J198">
        <f t="shared" si="13"/>
        <v>198</v>
      </c>
    </row>
    <row r="199" spans="2:10" x14ac:dyDescent="0.35">
      <c r="B199">
        <v>199</v>
      </c>
      <c r="C199">
        <v>227.33508930483845</v>
      </c>
      <c r="D199">
        <v>3.8167276000000001</v>
      </c>
      <c r="E199">
        <v>318.93655170483845</v>
      </c>
      <c r="F199">
        <v>222.07581101046719</v>
      </c>
      <c r="G199" s="1">
        <f t="shared" si="14"/>
        <v>96.860740694371259</v>
      </c>
      <c r="H199" s="1">
        <f t="shared" si="12"/>
        <v>91.601462400000003</v>
      </c>
      <c r="I199" s="2">
        <f t="shared" si="15"/>
        <v>5.2592782943712564</v>
      </c>
      <c r="J199">
        <f t="shared" si="13"/>
        <v>199</v>
      </c>
    </row>
    <row r="200" spans="2:10" x14ac:dyDescent="0.35">
      <c r="B200">
        <v>200</v>
      </c>
      <c r="C200">
        <v>229.20339463033966</v>
      </c>
      <c r="D200">
        <v>5.589289</v>
      </c>
      <c r="E200">
        <v>363.34633063033965</v>
      </c>
      <c r="F200">
        <v>222.88509052786961</v>
      </c>
      <c r="G200" s="1">
        <f t="shared" si="14"/>
        <v>140.46124010247004</v>
      </c>
      <c r="H200" s="1">
        <f t="shared" si="12"/>
        <v>134.14293599999999</v>
      </c>
      <c r="I200" s="2">
        <f t="shared" si="15"/>
        <v>6.3183041024700515</v>
      </c>
      <c r="J200">
        <f t="shared" si="13"/>
        <v>200</v>
      </c>
    </row>
    <row r="201" spans="2:10" x14ac:dyDescent="0.35">
      <c r="B201">
        <v>201</v>
      </c>
      <c r="C201">
        <v>229.55045630310292</v>
      </c>
      <c r="D201">
        <v>2.5002441000000002</v>
      </c>
      <c r="E201">
        <v>289.55631470310294</v>
      </c>
      <c r="F201">
        <v>223.18047148253768</v>
      </c>
      <c r="G201" s="1">
        <f t="shared" si="14"/>
        <v>66.375843220565258</v>
      </c>
      <c r="H201" s="1">
        <f t="shared" si="12"/>
        <v>60.005858400000008</v>
      </c>
      <c r="I201" s="2">
        <f t="shared" si="15"/>
        <v>6.3699848205652501</v>
      </c>
      <c r="J201">
        <f t="shared" si="13"/>
        <v>201</v>
      </c>
    </row>
    <row r="202" spans="2:10" x14ac:dyDescent="0.35">
      <c r="B202">
        <v>202</v>
      </c>
      <c r="C202">
        <v>235.65194813454406</v>
      </c>
      <c r="D202">
        <v>5.1434959999999998</v>
      </c>
      <c r="E202">
        <v>359.09585213454403</v>
      </c>
      <c r="F202">
        <v>225.77649649130842</v>
      </c>
      <c r="G202" s="1">
        <f t="shared" si="14"/>
        <v>133.31935564323561</v>
      </c>
      <c r="H202" s="1">
        <f t="shared" si="12"/>
        <v>123.443904</v>
      </c>
      <c r="I202" s="2">
        <f t="shared" si="15"/>
        <v>9.875451643235607</v>
      </c>
      <c r="J202">
        <f t="shared" si="13"/>
        <v>202</v>
      </c>
    </row>
    <row r="203" spans="2:10" x14ac:dyDescent="0.35">
      <c r="B203">
        <v>203</v>
      </c>
      <c r="C203">
        <v>237.7105893111011</v>
      </c>
      <c r="D203">
        <v>1.9400855999999997</v>
      </c>
      <c r="E203">
        <v>284.27264371110107</v>
      </c>
      <c r="F203">
        <v>225.80842977395216</v>
      </c>
      <c r="G203" s="1">
        <f t="shared" si="14"/>
        <v>58.464213937148912</v>
      </c>
      <c r="H203" s="1">
        <f t="shared" si="12"/>
        <v>46.562054399999994</v>
      </c>
      <c r="I203" s="2">
        <f t="shared" si="15"/>
        <v>11.902159537148918</v>
      </c>
      <c r="J203">
        <f t="shared" si="13"/>
        <v>203</v>
      </c>
    </row>
    <row r="204" spans="2:10" x14ac:dyDescent="0.35">
      <c r="B204">
        <v>204</v>
      </c>
      <c r="C204">
        <v>238.61032638256157</v>
      </c>
      <c r="D204">
        <v>4.3219513999999997</v>
      </c>
      <c r="E204">
        <v>342.33715998256156</v>
      </c>
      <c r="F204">
        <v>227.33508930483845</v>
      </c>
      <c r="G204" s="1">
        <f t="shared" si="14"/>
        <v>115.00207067772311</v>
      </c>
      <c r="H204" s="1">
        <f t="shared" si="12"/>
        <v>103.72683359999999</v>
      </c>
      <c r="I204" s="2">
        <f t="shared" si="15"/>
        <v>11.275237077723119</v>
      </c>
      <c r="J204">
        <f t="shared" si="13"/>
        <v>204</v>
      </c>
    </row>
    <row r="205" spans="2:10" x14ac:dyDescent="0.35">
      <c r="B205">
        <v>205</v>
      </c>
      <c r="C205">
        <v>239.80482364152374</v>
      </c>
      <c r="D205">
        <v>0.98358690000000015</v>
      </c>
      <c r="E205">
        <v>263.41090924152377</v>
      </c>
      <c r="F205">
        <v>229.20339463033966</v>
      </c>
      <c r="G205" s="1">
        <f t="shared" si="14"/>
        <v>34.207514611184109</v>
      </c>
      <c r="H205" s="1">
        <f t="shared" si="12"/>
        <v>23.606085600000004</v>
      </c>
      <c r="I205" s="2">
        <f t="shared" si="15"/>
        <v>10.601429011184106</v>
      </c>
      <c r="J205">
        <f t="shared" si="13"/>
        <v>205</v>
      </c>
    </row>
    <row r="206" spans="2:10" x14ac:dyDescent="0.35">
      <c r="B206">
        <v>206</v>
      </c>
      <c r="C206">
        <v>242.45685682648914</v>
      </c>
      <c r="D206">
        <v>3.9836127999999995</v>
      </c>
      <c r="E206">
        <v>338.06356402648913</v>
      </c>
      <c r="F206">
        <v>229.55045630310292</v>
      </c>
      <c r="G206" s="1">
        <f t="shared" si="14"/>
        <v>108.51310772338621</v>
      </c>
      <c r="H206" s="1">
        <f t="shared" si="12"/>
        <v>95.606707199999988</v>
      </c>
      <c r="I206" s="2">
        <f t="shared" si="15"/>
        <v>12.906400523386225</v>
      </c>
      <c r="J206">
        <f t="shared" si="13"/>
        <v>206</v>
      </c>
    </row>
    <row r="207" spans="2:10" x14ac:dyDescent="0.35">
      <c r="B207">
        <v>207</v>
      </c>
      <c r="C207">
        <v>242.48997276391842</v>
      </c>
      <c r="D207">
        <v>2.8731756000000002</v>
      </c>
      <c r="E207">
        <v>311.44618716391841</v>
      </c>
      <c r="F207">
        <v>235.65194813454406</v>
      </c>
      <c r="G207" s="1">
        <f t="shared" si="14"/>
        <v>75.794239029374353</v>
      </c>
      <c r="H207" s="1">
        <f t="shared" si="12"/>
        <v>68.956214400000007</v>
      </c>
      <c r="I207" s="2">
        <f t="shared" si="15"/>
        <v>6.8380246293743454</v>
      </c>
      <c r="J207">
        <f t="shared" si="13"/>
        <v>207</v>
      </c>
    </row>
    <row r="208" spans="2:10" x14ac:dyDescent="0.35">
      <c r="B208">
        <v>208</v>
      </c>
      <c r="C208">
        <v>244.61563755923521</v>
      </c>
      <c r="D208">
        <v>4.945875</v>
      </c>
      <c r="E208">
        <v>363.31663755923523</v>
      </c>
      <c r="F208">
        <v>237.7105893111011</v>
      </c>
      <c r="G208" s="1">
        <f t="shared" si="14"/>
        <v>125.60604824813413</v>
      </c>
      <c r="H208" s="1">
        <f t="shared" si="12"/>
        <v>118.70099999999999</v>
      </c>
      <c r="I208" s="2">
        <f t="shared" si="15"/>
        <v>6.9050482481341362</v>
      </c>
      <c r="J208">
        <f t="shared" si="13"/>
        <v>208</v>
      </c>
    </row>
    <row r="209" spans="2:10" x14ac:dyDescent="0.35">
      <c r="B209">
        <v>209</v>
      </c>
      <c r="C209">
        <v>247.04298748253768</v>
      </c>
      <c r="D209">
        <v>5.6102476000000001</v>
      </c>
      <c r="E209">
        <v>381.68892988253765</v>
      </c>
      <c r="F209">
        <v>238.61032638256157</v>
      </c>
      <c r="G209" s="1">
        <f t="shared" si="14"/>
        <v>143.07860349997608</v>
      </c>
      <c r="H209" s="1">
        <f t="shared" si="12"/>
        <v>134.6459424</v>
      </c>
      <c r="I209" s="2">
        <f t="shared" si="15"/>
        <v>8.4326610999760874</v>
      </c>
      <c r="J209">
        <f t="shared" si="13"/>
        <v>209</v>
      </c>
    </row>
    <row r="210" spans="2:10" x14ac:dyDescent="0.35">
      <c r="B210">
        <v>210</v>
      </c>
      <c r="C210">
        <v>247.25752033130843</v>
      </c>
      <c r="D210">
        <v>2.0041145999999999</v>
      </c>
      <c r="E210">
        <v>295.35627073130843</v>
      </c>
      <c r="F210">
        <v>239.80482364152374</v>
      </c>
      <c r="G210" s="1">
        <f t="shared" si="14"/>
        <v>55.551447089784688</v>
      </c>
      <c r="H210" s="1">
        <f t="shared" si="12"/>
        <v>48.0987504</v>
      </c>
      <c r="I210" s="2">
        <f t="shared" si="15"/>
        <v>7.4526966897846876</v>
      </c>
      <c r="J210">
        <f t="shared" si="13"/>
        <v>210</v>
      </c>
    </row>
    <row r="211" spans="2:10" x14ac:dyDescent="0.35">
      <c r="B211">
        <v>211</v>
      </c>
      <c r="C211">
        <v>247.81726118564552</v>
      </c>
      <c r="D211">
        <v>2.3054809999999999</v>
      </c>
      <c r="E211">
        <v>303.14880518564553</v>
      </c>
      <c r="F211">
        <v>242.45685682648914</v>
      </c>
      <c r="G211" s="1">
        <f t="shared" si="14"/>
        <v>60.691948359156385</v>
      </c>
      <c r="H211" s="1">
        <f t="shared" si="12"/>
        <v>55.331543999999994</v>
      </c>
      <c r="I211" s="2">
        <f t="shared" si="15"/>
        <v>5.3604043591563908</v>
      </c>
      <c r="J211">
        <f t="shared" si="13"/>
        <v>211</v>
      </c>
    </row>
    <row r="212" spans="2:10" x14ac:dyDescent="0.35">
      <c r="B212">
        <v>212</v>
      </c>
      <c r="C212">
        <v>249.30346968181055</v>
      </c>
      <c r="D212">
        <v>1.9716610000000001</v>
      </c>
      <c r="E212">
        <v>296.62333368181055</v>
      </c>
      <c r="F212">
        <v>242.48997276391842</v>
      </c>
      <c r="G212" s="1">
        <f t="shared" si="14"/>
        <v>54.133360917892134</v>
      </c>
      <c r="H212" s="1">
        <f t="shared" si="12"/>
        <v>47.319864000000003</v>
      </c>
      <c r="I212" s="2">
        <f t="shared" si="15"/>
        <v>6.813496917892131</v>
      </c>
      <c r="J212">
        <f t="shared" si="13"/>
        <v>212</v>
      </c>
    </row>
    <row r="213" spans="2:10" x14ac:dyDescent="0.35">
      <c r="B213">
        <v>213</v>
      </c>
      <c r="C213">
        <v>249.49311984421212</v>
      </c>
      <c r="D213">
        <v>4.7343489999999999</v>
      </c>
      <c r="E213">
        <v>363.1174958442121</v>
      </c>
      <c r="F213">
        <v>244.61563755923521</v>
      </c>
      <c r="G213" s="1">
        <f t="shared" si="14"/>
        <v>118.50185828497689</v>
      </c>
      <c r="H213" s="1">
        <f t="shared" si="12"/>
        <v>113.624376</v>
      </c>
      <c r="I213" s="2">
        <f t="shared" si="15"/>
        <v>4.8774822849768924</v>
      </c>
      <c r="J213">
        <f t="shared" si="13"/>
        <v>213</v>
      </c>
    </row>
    <row r="214" spans="2:10" x14ac:dyDescent="0.35">
      <c r="B214">
        <v>214</v>
      </c>
      <c r="C214">
        <v>252.85585537222676</v>
      </c>
      <c r="D214">
        <v>1.3646753</v>
      </c>
      <c r="E214">
        <v>285.60806257222674</v>
      </c>
      <c r="F214">
        <v>247.04298748253768</v>
      </c>
      <c r="G214" s="1">
        <f t="shared" si="14"/>
        <v>38.56507508968906</v>
      </c>
      <c r="H214" s="1">
        <f t="shared" si="12"/>
        <v>32.752207200000001</v>
      </c>
      <c r="I214" s="2">
        <f t="shared" si="15"/>
        <v>5.8128678896890591</v>
      </c>
      <c r="J214">
        <f t="shared" si="13"/>
        <v>214</v>
      </c>
    </row>
    <row r="215" spans="2:10" x14ac:dyDescent="0.35">
      <c r="B215">
        <v>215</v>
      </c>
      <c r="C215">
        <v>253.29023760115743</v>
      </c>
      <c r="D215">
        <v>4.2575539999999998</v>
      </c>
      <c r="E215">
        <v>355.47153360115743</v>
      </c>
      <c r="F215">
        <v>247.25752033130843</v>
      </c>
      <c r="G215" s="1">
        <f t="shared" si="14"/>
        <v>108.214013269849</v>
      </c>
      <c r="H215" s="1">
        <f t="shared" si="12"/>
        <v>102.181296</v>
      </c>
      <c r="I215" s="2">
        <f t="shared" si="15"/>
        <v>6.0327172698490017</v>
      </c>
      <c r="J215">
        <f t="shared" si="13"/>
        <v>215</v>
      </c>
    </row>
    <row r="216" spans="2:10" x14ac:dyDescent="0.35">
      <c r="B216">
        <v>216</v>
      </c>
      <c r="C216">
        <v>254.45181413631883</v>
      </c>
      <c r="D216">
        <v>4.6804449999999997</v>
      </c>
      <c r="E216">
        <v>366.7824941363188</v>
      </c>
      <c r="F216">
        <v>247.81726118564552</v>
      </c>
      <c r="G216" s="1">
        <f t="shared" si="14"/>
        <v>118.96523295067328</v>
      </c>
      <c r="H216" s="1">
        <f t="shared" si="12"/>
        <v>112.33068</v>
      </c>
      <c r="I216" s="2">
        <f t="shared" si="15"/>
        <v>6.6345529506732817</v>
      </c>
      <c r="J216">
        <f t="shared" si="13"/>
        <v>216</v>
      </c>
    </row>
    <row r="217" spans="2:10" x14ac:dyDescent="0.35">
      <c r="B217">
        <v>217</v>
      </c>
      <c r="C217">
        <v>255.10963676694354</v>
      </c>
      <c r="D217">
        <v>4.7621435999999999</v>
      </c>
      <c r="E217">
        <v>369.40108316694352</v>
      </c>
      <c r="F217">
        <v>249.30346968181055</v>
      </c>
      <c r="G217" s="1">
        <f t="shared" si="14"/>
        <v>120.09761348513297</v>
      </c>
      <c r="H217" s="1">
        <f t="shared" si="12"/>
        <v>114.2914464</v>
      </c>
      <c r="I217" s="2">
        <f t="shared" si="15"/>
        <v>5.8061670851329694</v>
      </c>
      <c r="J217">
        <f t="shared" si="13"/>
        <v>217</v>
      </c>
    </row>
    <row r="218" spans="2:10" x14ac:dyDescent="0.35">
      <c r="B218">
        <v>218</v>
      </c>
      <c r="C218">
        <v>256.15660457147135</v>
      </c>
      <c r="D218">
        <v>4.1872572999999997</v>
      </c>
      <c r="E218">
        <v>356.65077977147132</v>
      </c>
      <c r="F218">
        <v>249.49311984421212</v>
      </c>
      <c r="G218" s="1">
        <f t="shared" si="14"/>
        <v>107.1576599272592</v>
      </c>
      <c r="H218" s="1">
        <f t="shared" si="12"/>
        <v>100.4941752</v>
      </c>
      <c r="I218" s="2">
        <f t="shared" si="15"/>
        <v>6.6634847272592026</v>
      </c>
      <c r="J218">
        <f t="shared" si="13"/>
        <v>218</v>
      </c>
    </row>
    <row r="219" spans="2:10" x14ac:dyDescent="0.35">
      <c r="B219">
        <v>219</v>
      </c>
      <c r="C219">
        <v>256.42594977395214</v>
      </c>
      <c r="D219">
        <v>2.4394965000000002</v>
      </c>
      <c r="E219">
        <v>314.97386577395213</v>
      </c>
      <c r="F219">
        <v>252.85585537222676</v>
      </c>
      <c r="G219" s="1">
        <f t="shared" si="14"/>
        <v>62.118010401725371</v>
      </c>
      <c r="H219" s="1">
        <f t="shared" si="12"/>
        <v>58.547916000000001</v>
      </c>
      <c r="I219" s="2">
        <f t="shared" si="15"/>
        <v>3.5700944017253704</v>
      </c>
      <c r="J219">
        <f t="shared" si="13"/>
        <v>219</v>
      </c>
    </row>
    <row r="220" spans="2:10" x14ac:dyDescent="0.35">
      <c r="B220">
        <v>220</v>
      </c>
      <c r="C220">
        <v>256.66281480888824</v>
      </c>
      <c r="D220">
        <v>4.6355294999999996</v>
      </c>
      <c r="E220">
        <v>367.91552280888823</v>
      </c>
      <c r="F220">
        <v>253.29023760115743</v>
      </c>
      <c r="G220" s="1">
        <f t="shared" si="14"/>
        <v>114.6252852077308</v>
      </c>
      <c r="H220" s="1">
        <f t="shared" si="12"/>
        <v>111.25270799999998</v>
      </c>
      <c r="I220" s="2">
        <f t="shared" si="15"/>
        <v>3.3725772077308136</v>
      </c>
      <c r="J220">
        <f t="shared" si="13"/>
        <v>220</v>
      </c>
    </row>
    <row r="221" spans="2:10" x14ac:dyDescent="0.35">
      <c r="B221">
        <v>221</v>
      </c>
      <c r="C221">
        <v>257.05392479499011</v>
      </c>
      <c r="D221">
        <v>3.7158935</v>
      </c>
      <c r="E221">
        <v>346.23536879499011</v>
      </c>
      <c r="F221">
        <v>254.45181413631883</v>
      </c>
      <c r="G221" s="1">
        <f t="shared" si="14"/>
        <v>91.783554658671278</v>
      </c>
      <c r="H221" s="1">
        <f t="shared" si="12"/>
        <v>89.181443999999999</v>
      </c>
      <c r="I221" s="2">
        <f t="shared" si="15"/>
        <v>2.602110658671279</v>
      </c>
      <c r="J221">
        <f t="shared" si="13"/>
        <v>221</v>
      </c>
    </row>
    <row r="222" spans="2:10" x14ac:dyDescent="0.35">
      <c r="B222">
        <v>222</v>
      </c>
      <c r="C222">
        <v>257.36808520951985</v>
      </c>
      <c r="D222">
        <v>8.6442789999999992</v>
      </c>
      <c r="E222">
        <v>464.83078120951984</v>
      </c>
      <c r="F222">
        <v>255.10963676694354</v>
      </c>
      <c r="G222" s="1">
        <f t="shared" si="14"/>
        <v>209.7211444425763</v>
      </c>
      <c r="H222" s="1">
        <f t="shared" si="12"/>
        <v>207.46269599999999</v>
      </c>
      <c r="I222" s="2">
        <f t="shared" si="15"/>
        <v>2.2584484425763094</v>
      </c>
      <c r="J222">
        <f t="shared" si="13"/>
        <v>222</v>
      </c>
    </row>
    <row r="223" spans="2:10" x14ac:dyDescent="0.35">
      <c r="B223">
        <v>223</v>
      </c>
      <c r="C223">
        <v>258.64743216982185</v>
      </c>
      <c r="D223">
        <v>3.9168944000000003</v>
      </c>
      <c r="E223">
        <v>352.65289776982183</v>
      </c>
      <c r="F223">
        <v>256.15660457147135</v>
      </c>
      <c r="G223" s="1">
        <f t="shared" si="14"/>
        <v>96.496293198350486</v>
      </c>
      <c r="H223" s="1">
        <f t="shared" si="12"/>
        <v>94.005465600000008</v>
      </c>
      <c r="I223" s="2">
        <f t="shared" si="15"/>
        <v>2.490827598350478</v>
      </c>
      <c r="J223">
        <f t="shared" si="13"/>
        <v>223</v>
      </c>
    </row>
    <row r="224" spans="2:10" x14ac:dyDescent="0.35">
      <c r="B224">
        <v>224</v>
      </c>
      <c r="C224">
        <v>258.67615909834609</v>
      </c>
      <c r="D224">
        <v>4.0389160000000004</v>
      </c>
      <c r="E224">
        <v>355.6101430983461</v>
      </c>
      <c r="F224">
        <v>256.42594977395214</v>
      </c>
      <c r="G224" s="1">
        <f t="shared" si="14"/>
        <v>99.184193324393959</v>
      </c>
      <c r="H224" s="1">
        <f t="shared" si="12"/>
        <v>96.933984000000009</v>
      </c>
      <c r="I224" s="2">
        <f t="shared" si="15"/>
        <v>2.2502093243939498</v>
      </c>
      <c r="J224">
        <f t="shared" si="13"/>
        <v>224</v>
      </c>
    </row>
    <row r="225" spans="2:10" x14ac:dyDescent="0.35">
      <c r="B225">
        <v>225</v>
      </c>
      <c r="C225">
        <v>258.81260460073071</v>
      </c>
      <c r="D225">
        <v>4.1938199999999997</v>
      </c>
      <c r="E225">
        <v>359.46428460073071</v>
      </c>
      <c r="F225">
        <v>256.66281480888824</v>
      </c>
      <c r="G225" s="1">
        <f t="shared" si="14"/>
        <v>102.80146979184246</v>
      </c>
      <c r="H225" s="1">
        <f t="shared" si="12"/>
        <v>100.65168</v>
      </c>
      <c r="I225" s="2">
        <f t="shared" si="15"/>
        <v>2.1497897918424655</v>
      </c>
      <c r="J225">
        <f t="shared" si="13"/>
        <v>225</v>
      </c>
    </row>
    <row r="226" spans="2:10" x14ac:dyDescent="0.35">
      <c r="B226">
        <v>226</v>
      </c>
      <c r="C226">
        <v>260.68050418884968</v>
      </c>
      <c r="D226">
        <v>5.4258803999999996</v>
      </c>
      <c r="E226">
        <v>390.90163378884967</v>
      </c>
      <c r="F226">
        <v>257.05392479499011</v>
      </c>
      <c r="G226" s="1">
        <f t="shared" si="14"/>
        <v>133.84770899385956</v>
      </c>
      <c r="H226" s="1">
        <f t="shared" si="12"/>
        <v>130.22112959999998</v>
      </c>
      <c r="I226" s="2">
        <f t="shared" si="15"/>
        <v>3.6265793938595721</v>
      </c>
      <c r="J226">
        <f t="shared" si="13"/>
        <v>226</v>
      </c>
    </row>
    <row r="227" spans="2:10" x14ac:dyDescent="0.35">
      <c r="B227">
        <v>227</v>
      </c>
      <c r="C227">
        <v>261.0996208605207</v>
      </c>
      <c r="D227">
        <v>4.7862739999999997</v>
      </c>
      <c r="E227">
        <v>375.97019686052067</v>
      </c>
      <c r="F227">
        <v>257.36808520951985</v>
      </c>
      <c r="G227" s="1">
        <f t="shared" si="14"/>
        <v>118.60211165100083</v>
      </c>
      <c r="H227" s="1">
        <f t="shared" si="12"/>
        <v>114.870576</v>
      </c>
      <c r="I227" s="2">
        <f t="shared" si="15"/>
        <v>3.7315356510008257</v>
      </c>
      <c r="J227">
        <f t="shared" si="13"/>
        <v>227</v>
      </c>
    </row>
    <row r="228" spans="2:10" x14ac:dyDescent="0.35">
      <c r="B228">
        <v>228</v>
      </c>
      <c r="C228">
        <v>263.27305197643534</v>
      </c>
      <c r="D228">
        <v>1.6933810999999999</v>
      </c>
      <c r="E228">
        <v>303.91419837643537</v>
      </c>
      <c r="F228">
        <v>258.64743216982185</v>
      </c>
      <c r="G228" s="1">
        <f t="shared" si="14"/>
        <v>45.266766206613511</v>
      </c>
      <c r="H228" s="1">
        <f t="shared" si="12"/>
        <v>40.641146399999997</v>
      </c>
      <c r="I228" s="2">
        <f t="shared" si="15"/>
        <v>4.6256198066135141</v>
      </c>
      <c r="J228">
        <f t="shared" si="13"/>
        <v>228</v>
      </c>
    </row>
    <row r="229" spans="2:10" x14ac:dyDescent="0.35">
      <c r="B229">
        <v>229</v>
      </c>
      <c r="C229">
        <v>263.41090924152377</v>
      </c>
      <c r="D229">
        <v>5.8738831999999999</v>
      </c>
      <c r="E229">
        <v>404.38410604152375</v>
      </c>
      <c r="F229">
        <v>258.67615909834609</v>
      </c>
      <c r="G229" s="1">
        <f t="shared" si="14"/>
        <v>145.70794694317766</v>
      </c>
      <c r="H229" s="1">
        <f t="shared" si="12"/>
        <v>140.97319679999998</v>
      </c>
      <c r="I229" s="2">
        <f t="shared" si="15"/>
        <v>4.7347501431776777</v>
      </c>
      <c r="J229">
        <f t="shared" si="13"/>
        <v>229</v>
      </c>
    </row>
    <row r="230" spans="2:10" x14ac:dyDescent="0.35">
      <c r="B230">
        <v>230</v>
      </c>
      <c r="C230">
        <v>264.80853759461399</v>
      </c>
      <c r="D230">
        <v>5.4096080000000004</v>
      </c>
      <c r="E230">
        <v>394.63912959461402</v>
      </c>
      <c r="F230">
        <v>258.81260460073071</v>
      </c>
      <c r="G230" s="1">
        <f t="shared" si="14"/>
        <v>135.82652499388331</v>
      </c>
      <c r="H230" s="1">
        <f t="shared" si="12"/>
        <v>129.83059200000002</v>
      </c>
      <c r="I230" s="2">
        <f t="shared" si="15"/>
        <v>5.9959329938832866</v>
      </c>
      <c r="J230">
        <f t="shared" si="13"/>
        <v>230</v>
      </c>
    </row>
    <row r="231" spans="2:10" x14ac:dyDescent="0.35">
      <c r="B231">
        <v>231</v>
      </c>
      <c r="C231">
        <v>266.6042182104672</v>
      </c>
      <c r="D231">
        <v>0.95475390000000004</v>
      </c>
      <c r="E231">
        <v>289.5183118104672</v>
      </c>
      <c r="F231">
        <v>260.68050418884968</v>
      </c>
      <c r="G231" s="1">
        <f t="shared" si="14"/>
        <v>28.837807621617515</v>
      </c>
      <c r="H231" s="1">
        <f t="shared" si="12"/>
        <v>22.914093600000001</v>
      </c>
      <c r="I231" s="2">
        <f t="shared" si="15"/>
        <v>5.9237140216175135</v>
      </c>
      <c r="J231">
        <f t="shared" si="13"/>
        <v>231</v>
      </c>
    </row>
    <row r="232" spans="2:10" x14ac:dyDescent="0.35">
      <c r="B232">
        <v>232</v>
      </c>
      <c r="C232">
        <v>267.95940600080405</v>
      </c>
      <c r="D232">
        <v>2.2163887</v>
      </c>
      <c r="E232">
        <v>321.15273480080407</v>
      </c>
      <c r="F232">
        <v>261.0996208605207</v>
      </c>
      <c r="G232" s="1">
        <f t="shared" si="14"/>
        <v>60.053113940283367</v>
      </c>
      <c r="H232" s="1">
        <f t="shared" si="12"/>
        <v>53.193328800000003</v>
      </c>
      <c r="I232" s="2">
        <f t="shared" si="15"/>
        <v>6.8597851402833641</v>
      </c>
      <c r="J232">
        <f t="shared" si="13"/>
        <v>232</v>
      </c>
    </row>
    <row r="233" spans="2:10" x14ac:dyDescent="0.35">
      <c r="B233">
        <v>233</v>
      </c>
      <c r="C233">
        <v>268.50130317973486</v>
      </c>
      <c r="D233">
        <v>5.4520939999999998</v>
      </c>
      <c r="E233">
        <v>399.35155917973486</v>
      </c>
      <c r="F233">
        <v>263.27305197643534</v>
      </c>
      <c r="G233" s="1">
        <f t="shared" si="14"/>
        <v>136.07850720329952</v>
      </c>
      <c r="H233" s="1">
        <f t="shared" si="12"/>
        <v>130.850256</v>
      </c>
      <c r="I233" s="2">
        <f t="shared" si="15"/>
        <v>5.2282512032995214</v>
      </c>
      <c r="J233">
        <f t="shared" si="13"/>
        <v>233</v>
      </c>
    </row>
    <row r="234" spans="2:10" x14ac:dyDescent="0.35">
      <c r="B234">
        <v>234</v>
      </c>
      <c r="C234">
        <v>272.16156755518085</v>
      </c>
      <c r="D234">
        <v>5.7156744000000002</v>
      </c>
      <c r="E234">
        <v>409.33775315518085</v>
      </c>
      <c r="F234">
        <v>263.41090924152377</v>
      </c>
      <c r="G234" s="1">
        <f t="shared" si="14"/>
        <v>145.92684391365708</v>
      </c>
      <c r="H234" s="1">
        <f t="shared" si="12"/>
        <v>137.1761856</v>
      </c>
      <c r="I234" s="2">
        <f t="shared" si="15"/>
        <v>8.7506583136570839</v>
      </c>
      <c r="J234">
        <f t="shared" si="13"/>
        <v>234</v>
      </c>
    </row>
    <row r="235" spans="2:10" x14ac:dyDescent="0.35">
      <c r="B235">
        <v>235</v>
      </c>
      <c r="C235">
        <v>275.85534274598297</v>
      </c>
      <c r="D235">
        <v>2.5832592999999999</v>
      </c>
      <c r="E235">
        <v>337.85356594598295</v>
      </c>
      <c r="F235">
        <v>264.80853759461399</v>
      </c>
      <c r="G235" s="1">
        <f t="shared" si="14"/>
        <v>73.045028351368956</v>
      </c>
      <c r="H235" s="1">
        <f t="shared" si="12"/>
        <v>61.998223199999998</v>
      </c>
      <c r="I235" s="2">
        <f t="shared" si="15"/>
        <v>11.046805151368957</v>
      </c>
      <c r="J235">
        <f t="shared" si="13"/>
        <v>235</v>
      </c>
    </row>
    <row r="236" spans="2:10" x14ac:dyDescent="0.35">
      <c r="B236">
        <v>236</v>
      </c>
      <c r="C236">
        <v>275.93440428391688</v>
      </c>
      <c r="D236">
        <v>2.9753107999999999</v>
      </c>
      <c r="E236">
        <v>347.34186348391688</v>
      </c>
      <c r="F236">
        <v>266.6042182104672</v>
      </c>
      <c r="G236" s="1">
        <f t="shared" si="14"/>
        <v>80.737645273449687</v>
      </c>
      <c r="H236" s="1">
        <f t="shared" si="12"/>
        <v>71.407459200000005</v>
      </c>
      <c r="I236" s="2">
        <f t="shared" si="15"/>
        <v>9.3301860734496813</v>
      </c>
      <c r="J236">
        <f t="shared" si="13"/>
        <v>236</v>
      </c>
    </row>
    <row r="237" spans="2:10" x14ac:dyDescent="0.35">
      <c r="B237">
        <v>237</v>
      </c>
      <c r="C237">
        <v>280.39653099146716</v>
      </c>
      <c r="D237">
        <v>1.0245879000000002</v>
      </c>
      <c r="E237">
        <v>304.98664059146716</v>
      </c>
      <c r="F237">
        <v>267.95940600080405</v>
      </c>
      <c r="G237" s="1">
        <f t="shared" si="14"/>
        <v>37.027234590663113</v>
      </c>
      <c r="H237" s="1">
        <f t="shared" si="12"/>
        <v>24.590109600000005</v>
      </c>
      <c r="I237" s="2">
        <f t="shared" si="15"/>
        <v>12.437124990663108</v>
      </c>
      <c r="J237">
        <f t="shared" si="13"/>
        <v>237</v>
      </c>
    </row>
    <row r="238" spans="2:10" x14ac:dyDescent="0.35">
      <c r="B238">
        <v>238</v>
      </c>
      <c r="C238">
        <v>282.38923719387896</v>
      </c>
      <c r="D238">
        <v>2.6208179999999999</v>
      </c>
      <c r="E238">
        <v>345.28886919387895</v>
      </c>
      <c r="F238">
        <v>268.50130317973486</v>
      </c>
      <c r="G238" s="1">
        <f t="shared" si="14"/>
        <v>76.78756601414409</v>
      </c>
      <c r="H238" s="1">
        <f t="shared" si="12"/>
        <v>62.899631999999997</v>
      </c>
      <c r="I238" s="2">
        <f t="shared" si="15"/>
        <v>13.887934014144093</v>
      </c>
      <c r="J238">
        <f t="shared" si="13"/>
        <v>238</v>
      </c>
    </row>
    <row r="239" spans="2:10" x14ac:dyDescent="0.35">
      <c r="B239">
        <v>239</v>
      </c>
      <c r="C239">
        <v>282.70891892972628</v>
      </c>
      <c r="D239">
        <v>4.0485360000000004</v>
      </c>
      <c r="E239">
        <v>379.8737829297263</v>
      </c>
      <c r="F239">
        <v>272.16156755518085</v>
      </c>
      <c r="G239" s="1">
        <f t="shared" si="14"/>
        <v>107.71221537454545</v>
      </c>
      <c r="H239" s="1">
        <f t="shared" si="12"/>
        <v>97.164864000000009</v>
      </c>
      <c r="I239" s="2">
        <f t="shared" si="15"/>
        <v>10.547351374545443</v>
      </c>
      <c r="J239">
        <f t="shared" si="13"/>
        <v>239</v>
      </c>
    </row>
    <row r="240" spans="2:10" x14ac:dyDescent="0.35">
      <c r="B240">
        <v>240</v>
      </c>
      <c r="C240">
        <v>283.7697855506085</v>
      </c>
      <c r="D240">
        <v>2.9309614000000002</v>
      </c>
      <c r="E240">
        <v>354.11285915060853</v>
      </c>
      <c r="F240">
        <v>275.85534274598297</v>
      </c>
      <c r="G240" s="1">
        <f t="shared" si="14"/>
        <v>78.257516404625562</v>
      </c>
      <c r="H240" s="1">
        <f t="shared" si="12"/>
        <v>70.343073599999997</v>
      </c>
      <c r="I240" s="2">
        <f t="shared" si="15"/>
        <v>7.9144428046255655</v>
      </c>
      <c r="J240">
        <f t="shared" si="13"/>
        <v>240</v>
      </c>
    </row>
    <row r="241" spans="2:10" x14ac:dyDescent="0.35">
      <c r="B241">
        <v>241</v>
      </c>
      <c r="C241">
        <v>283.91786585109418</v>
      </c>
      <c r="D241">
        <v>4.7310030000000003</v>
      </c>
      <c r="E241">
        <v>397.46193785109421</v>
      </c>
      <c r="F241">
        <v>275.93440428391688</v>
      </c>
      <c r="G241" s="1">
        <f t="shared" si="14"/>
        <v>121.52753356717733</v>
      </c>
      <c r="H241" s="1">
        <f t="shared" si="12"/>
        <v>113.544072</v>
      </c>
      <c r="I241" s="2">
        <f t="shared" si="15"/>
        <v>7.9834615671773292</v>
      </c>
      <c r="J241">
        <f t="shared" si="13"/>
        <v>241</v>
      </c>
    </row>
    <row r="242" spans="2:10" x14ac:dyDescent="0.35">
      <c r="B242">
        <v>242</v>
      </c>
      <c r="C242">
        <v>284.27264371110107</v>
      </c>
      <c r="D242">
        <v>3.4349097999999998</v>
      </c>
      <c r="E242">
        <v>366.71047891110106</v>
      </c>
      <c r="F242">
        <v>280.39653099146716</v>
      </c>
      <c r="G242" s="1">
        <f t="shared" si="14"/>
        <v>86.313947919633904</v>
      </c>
      <c r="H242" s="1">
        <f t="shared" si="12"/>
        <v>82.437835199999995</v>
      </c>
      <c r="I242" s="2">
        <f t="shared" si="15"/>
        <v>3.8761127196339089</v>
      </c>
      <c r="J242">
        <f t="shared" si="13"/>
        <v>242</v>
      </c>
    </row>
    <row r="243" spans="2:10" x14ac:dyDescent="0.35">
      <c r="B243">
        <v>243</v>
      </c>
      <c r="C243">
        <v>285.35525811494222</v>
      </c>
      <c r="D243">
        <v>2.8416733999999999</v>
      </c>
      <c r="E243">
        <v>353.55541971494222</v>
      </c>
      <c r="F243">
        <v>282.38923719387896</v>
      </c>
      <c r="G243" s="1">
        <f t="shared" si="14"/>
        <v>71.166182521063263</v>
      </c>
      <c r="H243" s="1">
        <f t="shared" si="12"/>
        <v>68.200161600000001</v>
      </c>
      <c r="I243" s="2">
        <f t="shared" si="15"/>
        <v>2.9660209210632615</v>
      </c>
      <c r="J243">
        <f t="shared" si="13"/>
        <v>243</v>
      </c>
    </row>
    <row r="244" spans="2:10" x14ac:dyDescent="0.35">
      <c r="B244">
        <v>244</v>
      </c>
      <c r="C244">
        <v>285.60806257222674</v>
      </c>
      <c r="D244">
        <v>4.7834544000000001</v>
      </c>
      <c r="E244">
        <v>400.41096817222672</v>
      </c>
      <c r="F244">
        <v>282.70891892972628</v>
      </c>
      <c r="G244" s="1">
        <f t="shared" si="14"/>
        <v>117.70204924250044</v>
      </c>
      <c r="H244" s="1">
        <f t="shared" si="12"/>
        <v>114.8029056</v>
      </c>
      <c r="I244" s="2">
        <f t="shared" si="15"/>
        <v>2.8991436425004338</v>
      </c>
      <c r="J244">
        <f t="shared" si="13"/>
        <v>244</v>
      </c>
    </row>
    <row r="245" spans="2:10" x14ac:dyDescent="0.35">
      <c r="B245">
        <v>245</v>
      </c>
      <c r="C245">
        <v>286.83746225922539</v>
      </c>
      <c r="D245">
        <v>1.5441120000000002</v>
      </c>
      <c r="E245">
        <v>323.89615025922541</v>
      </c>
      <c r="F245">
        <v>283.7697855506085</v>
      </c>
      <c r="G245" s="1">
        <f t="shared" si="14"/>
        <v>40.126364708616904</v>
      </c>
      <c r="H245" s="1">
        <f t="shared" si="12"/>
        <v>37.058688000000004</v>
      </c>
      <c r="I245" s="2">
        <f t="shared" si="15"/>
        <v>3.0676767086169008</v>
      </c>
      <c r="J245">
        <f t="shared" si="13"/>
        <v>245</v>
      </c>
    </row>
    <row r="246" spans="2:10" x14ac:dyDescent="0.35">
      <c r="B246">
        <v>246</v>
      </c>
      <c r="C246">
        <v>289.5183118104672</v>
      </c>
      <c r="D246">
        <v>2.9608455</v>
      </c>
      <c r="E246">
        <v>360.5786038104672</v>
      </c>
      <c r="F246">
        <v>283.91786585109418</v>
      </c>
      <c r="G246" s="1">
        <f t="shared" si="14"/>
        <v>76.660737959373023</v>
      </c>
      <c r="H246" s="1">
        <f t="shared" si="12"/>
        <v>71.060292000000004</v>
      </c>
      <c r="I246" s="2">
        <f t="shared" si="15"/>
        <v>5.6004459593730189</v>
      </c>
      <c r="J246">
        <f t="shared" si="13"/>
        <v>246</v>
      </c>
    </row>
    <row r="247" spans="2:10" x14ac:dyDescent="0.35">
      <c r="B247">
        <v>247</v>
      </c>
      <c r="C247">
        <v>289.55631470310294</v>
      </c>
      <c r="D247">
        <v>2.7403178000000001</v>
      </c>
      <c r="E247">
        <v>355.32394190310293</v>
      </c>
      <c r="F247">
        <v>284.27264371110107</v>
      </c>
      <c r="G247" s="1">
        <f t="shared" si="14"/>
        <v>71.051298192001866</v>
      </c>
      <c r="H247" s="1">
        <f t="shared" si="12"/>
        <v>65.767627200000007</v>
      </c>
      <c r="I247" s="2">
        <f t="shared" si="15"/>
        <v>5.2836709920018592</v>
      </c>
      <c r="J247">
        <f t="shared" si="13"/>
        <v>247</v>
      </c>
    </row>
    <row r="248" spans="2:10" x14ac:dyDescent="0.35">
      <c r="B248">
        <v>248</v>
      </c>
      <c r="C248">
        <v>291.0915664140482</v>
      </c>
      <c r="D248">
        <v>6.8480067</v>
      </c>
      <c r="E248">
        <v>455.44372721404818</v>
      </c>
      <c r="F248">
        <v>285.35525811494222</v>
      </c>
      <c r="G248" s="1">
        <f t="shared" si="14"/>
        <v>170.08846909910596</v>
      </c>
      <c r="H248" s="1">
        <f t="shared" si="12"/>
        <v>164.35216080000001</v>
      </c>
      <c r="I248" s="2">
        <f t="shared" si="15"/>
        <v>5.7363082991059571</v>
      </c>
      <c r="J248">
        <f t="shared" si="13"/>
        <v>248</v>
      </c>
    </row>
    <row r="249" spans="2:10" x14ac:dyDescent="0.35">
      <c r="B249">
        <v>249</v>
      </c>
      <c r="C249">
        <v>291.58731590009501</v>
      </c>
      <c r="D249">
        <v>6.8895816999999999</v>
      </c>
      <c r="E249">
        <v>456.93727670009503</v>
      </c>
      <c r="F249">
        <v>285.60806257222674</v>
      </c>
      <c r="G249" s="1">
        <f t="shared" si="14"/>
        <v>171.32921412786828</v>
      </c>
      <c r="H249" s="1">
        <f t="shared" si="12"/>
        <v>165.34996079999999</v>
      </c>
      <c r="I249" s="2">
        <f t="shared" si="15"/>
        <v>5.9792533278682924</v>
      </c>
      <c r="J249">
        <f t="shared" si="13"/>
        <v>249</v>
      </c>
    </row>
    <row r="250" spans="2:10" x14ac:dyDescent="0.35">
      <c r="B250">
        <v>250</v>
      </c>
      <c r="C250">
        <v>295.35627073130843</v>
      </c>
      <c r="D250">
        <v>2.1392658</v>
      </c>
      <c r="E250">
        <v>346.69864993130841</v>
      </c>
      <c r="F250">
        <v>286.83746225922539</v>
      </c>
      <c r="G250" s="1">
        <f t="shared" si="14"/>
        <v>59.86118767208302</v>
      </c>
      <c r="H250" s="1">
        <f t="shared" si="12"/>
        <v>51.342379199999996</v>
      </c>
      <c r="I250" s="2">
        <f t="shared" si="15"/>
        <v>8.5188084720830233</v>
      </c>
      <c r="J250">
        <f t="shared" si="13"/>
        <v>250</v>
      </c>
    </row>
    <row r="251" spans="2:10" x14ac:dyDescent="0.35">
      <c r="B251">
        <v>251</v>
      </c>
      <c r="C251">
        <v>296.62333368181055</v>
      </c>
      <c r="D251">
        <v>4.9059157000000004</v>
      </c>
      <c r="E251">
        <v>414.36531048181052</v>
      </c>
      <c r="F251">
        <v>289.5183118104672</v>
      </c>
      <c r="G251" s="1">
        <f t="shared" si="14"/>
        <v>124.84699867134333</v>
      </c>
      <c r="H251" s="1">
        <f t="shared" si="12"/>
        <v>117.7419768</v>
      </c>
      <c r="I251" s="2">
        <f t="shared" si="15"/>
        <v>7.1050218713433253</v>
      </c>
      <c r="J251">
        <f t="shared" si="13"/>
        <v>251</v>
      </c>
    </row>
    <row r="252" spans="2:10" x14ac:dyDescent="0.35">
      <c r="B252">
        <v>252</v>
      </c>
      <c r="C252">
        <v>298.33101794563697</v>
      </c>
      <c r="D252">
        <v>3.4465944999999998</v>
      </c>
      <c r="E252">
        <v>381.04928594563694</v>
      </c>
      <c r="F252">
        <v>289.55631470310294</v>
      </c>
      <c r="G252" s="1">
        <f t="shared" si="14"/>
        <v>91.492971242533997</v>
      </c>
      <c r="H252" s="1">
        <f t="shared" si="12"/>
        <v>82.718267999999995</v>
      </c>
      <c r="I252" s="2">
        <f t="shared" si="15"/>
        <v>8.7747032425340024</v>
      </c>
      <c r="J252">
        <f t="shared" si="13"/>
        <v>252</v>
      </c>
    </row>
    <row r="253" spans="2:10" x14ac:dyDescent="0.35">
      <c r="B253">
        <v>253</v>
      </c>
      <c r="C253">
        <v>299.43992973361475</v>
      </c>
      <c r="D253">
        <v>1.7369783999999999</v>
      </c>
      <c r="E253">
        <v>341.12741133361476</v>
      </c>
      <c r="F253">
        <v>291.0915664140482</v>
      </c>
      <c r="G253" s="1">
        <f t="shared" si="14"/>
        <v>50.035844919566557</v>
      </c>
      <c r="H253" s="1">
        <f t="shared" si="12"/>
        <v>41.687481599999998</v>
      </c>
      <c r="I253" s="2">
        <f t="shared" si="15"/>
        <v>8.348363319566559</v>
      </c>
      <c r="J253">
        <f t="shared" si="13"/>
        <v>253</v>
      </c>
    </row>
    <row r="254" spans="2:10" x14ac:dyDescent="0.35">
      <c r="B254">
        <v>254</v>
      </c>
      <c r="C254">
        <v>303.14880518564553</v>
      </c>
      <c r="D254">
        <v>4.7328234</v>
      </c>
      <c r="E254">
        <v>416.73656678564555</v>
      </c>
      <c r="F254">
        <v>291.58731590009501</v>
      </c>
      <c r="G254" s="1">
        <f t="shared" si="14"/>
        <v>125.14925088555054</v>
      </c>
      <c r="H254" s="1">
        <f t="shared" si="12"/>
        <v>113.58776159999999</v>
      </c>
      <c r="I254" s="2">
        <f t="shared" si="15"/>
        <v>11.56148928555055</v>
      </c>
      <c r="J254">
        <f t="shared" si="13"/>
        <v>254</v>
      </c>
    </row>
    <row r="255" spans="2:10" x14ac:dyDescent="0.35">
      <c r="B255">
        <v>255</v>
      </c>
      <c r="C255">
        <v>303.91419837643537</v>
      </c>
      <c r="D255">
        <v>4.9504045999999997</v>
      </c>
      <c r="E255">
        <v>422.72390877643534</v>
      </c>
      <c r="F255">
        <v>295.35627073130843</v>
      </c>
      <c r="G255" s="1">
        <f t="shared" si="14"/>
        <v>127.36763804512691</v>
      </c>
      <c r="H255" s="1">
        <f t="shared" si="12"/>
        <v>118.8097104</v>
      </c>
      <c r="I255" s="2">
        <f t="shared" si="15"/>
        <v>8.5579276451269095</v>
      </c>
      <c r="J255">
        <f t="shared" si="13"/>
        <v>255</v>
      </c>
    </row>
    <row r="256" spans="2:10" x14ac:dyDescent="0.35">
      <c r="B256">
        <v>256</v>
      </c>
      <c r="C256">
        <v>304.98664059146716</v>
      </c>
      <c r="D256">
        <v>2.9322686</v>
      </c>
      <c r="E256">
        <v>375.36108699146718</v>
      </c>
      <c r="F256">
        <v>296.62333368181055</v>
      </c>
      <c r="G256" s="1">
        <f t="shared" si="14"/>
        <v>78.737753309656625</v>
      </c>
      <c r="H256" s="1">
        <f t="shared" si="12"/>
        <v>70.374446399999997</v>
      </c>
      <c r="I256" s="2">
        <f t="shared" si="15"/>
        <v>8.3633069096566288</v>
      </c>
      <c r="J256">
        <f t="shared" si="13"/>
        <v>256</v>
      </c>
    </row>
    <row r="257" spans="2:10" x14ac:dyDescent="0.35">
      <c r="B257">
        <v>257</v>
      </c>
      <c r="C257">
        <v>307.78855982322852</v>
      </c>
      <c r="D257">
        <v>4.221565</v>
      </c>
      <c r="E257">
        <v>409.10611982322854</v>
      </c>
      <c r="F257">
        <v>298.33101794563697</v>
      </c>
      <c r="G257" s="1">
        <f t="shared" si="14"/>
        <v>110.77510187759157</v>
      </c>
      <c r="H257" s="1">
        <f t="shared" si="12"/>
        <v>101.31756</v>
      </c>
      <c r="I257" s="2">
        <f t="shared" si="15"/>
        <v>9.4575418775915665</v>
      </c>
      <c r="J257">
        <f t="shared" si="13"/>
        <v>257</v>
      </c>
    </row>
    <row r="258" spans="2:10" x14ac:dyDescent="0.35">
      <c r="B258">
        <v>258</v>
      </c>
      <c r="C258">
        <v>311.44618716391841</v>
      </c>
      <c r="D258">
        <v>1.0053650000000003</v>
      </c>
      <c r="E258">
        <v>335.57494716391841</v>
      </c>
      <c r="F258">
        <v>299.43992973361475</v>
      </c>
      <c r="G258" s="1">
        <f t="shared" si="14"/>
        <v>36.135017430303662</v>
      </c>
      <c r="H258" s="1">
        <f t="shared" ref="H258:H321" si="16">D258*24</f>
        <v>24.128760000000007</v>
      </c>
      <c r="I258" s="2">
        <f t="shared" si="15"/>
        <v>12.006257430303656</v>
      </c>
      <c r="J258">
        <f t="shared" ref="J258:J321" si="17">B258</f>
        <v>258</v>
      </c>
    </row>
    <row r="259" spans="2:10" x14ac:dyDescent="0.35">
      <c r="B259">
        <v>259</v>
      </c>
      <c r="C259">
        <v>311.48462859087635</v>
      </c>
      <c r="D259">
        <v>3.7905977000000002</v>
      </c>
      <c r="E259">
        <v>402.45897339087639</v>
      </c>
      <c r="F259">
        <v>303.14880518564553</v>
      </c>
      <c r="G259" s="1">
        <f t="shared" ref="G259:G322" si="18">E259-F259</f>
        <v>99.310168205230866</v>
      </c>
      <c r="H259" s="1">
        <f t="shared" si="16"/>
        <v>90.974344800000011</v>
      </c>
      <c r="I259" s="2">
        <f t="shared" ref="I259:I322" si="19">G259-H259</f>
        <v>8.3358234052308546</v>
      </c>
      <c r="J259">
        <f t="shared" si="17"/>
        <v>259</v>
      </c>
    </row>
    <row r="260" spans="2:10" x14ac:dyDescent="0.35">
      <c r="B260">
        <v>260</v>
      </c>
      <c r="C260">
        <v>312.98493676077203</v>
      </c>
      <c r="D260">
        <v>4.6715920000000004</v>
      </c>
      <c r="E260">
        <v>425.10314476077201</v>
      </c>
      <c r="F260">
        <v>303.91419837643537</v>
      </c>
      <c r="G260" s="1">
        <f t="shared" si="18"/>
        <v>121.18894638433665</v>
      </c>
      <c r="H260" s="1">
        <f t="shared" si="16"/>
        <v>112.11820800000001</v>
      </c>
      <c r="I260" s="2">
        <f t="shared" si="19"/>
        <v>9.0707383843366358</v>
      </c>
      <c r="J260">
        <f t="shared" si="17"/>
        <v>260</v>
      </c>
    </row>
    <row r="261" spans="2:10" x14ac:dyDescent="0.35">
      <c r="B261">
        <v>261</v>
      </c>
      <c r="C261">
        <v>313.97046578613805</v>
      </c>
      <c r="D261">
        <v>3.8967485000000002</v>
      </c>
      <c r="E261">
        <v>407.49242978613808</v>
      </c>
      <c r="F261">
        <v>304.98664059146716</v>
      </c>
      <c r="G261" s="1">
        <f t="shared" si="18"/>
        <v>102.50578919467091</v>
      </c>
      <c r="H261" s="1">
        <f t="shared" si="16"/>
        <v>93.521963999999997</v>
      </c>
      <c r="I261" s="2">
        <f t="shared" si="19"/>
        <v>8.9838251946709136</v>
      </c>
      <c r="J261">
        <f t="shared" si="17"/>
        <v>261</v>
      </c>
    </row>
    <row r="262" spans="2:10" x14ac:dyDescent="0.35">
      <c r="B262">
        <v>262</v>
      </c>
      <c r="C262">
        <v>314.97386577395213</v>
      </c>
      <c r="D262">
        <v>5.4493499999999999</v>
      </c>
      <c r="E262">
        <v>445.75826577395208</v>
      </c>
      <c r="F262">
        <v>307.78855982322852</v>
      </c>
      <c r="G262" s="1">
        <f t="shared" si="18"/>
        <v>137.96970595072355</v>
      </c>
      <c r="H262" s="1">
        <f t="shared" si="16"/>
        <v>130.78440000000001</v>
      </c>
      <c r="I262" s="2">
        <f t="shared" si="19"/>
        <v>7.1853059507235457</v>
      </c>
      <c r="J262">
        <f t="shared" si="17"/>
        <v>262</v>
      </c>
    </row>
    <row r="263" spans="2:10" x14ac:dyDescent="0.35">
      <c r="B263">
        <v>263</v>
      </c>
      <c r="C263">
        <v>316.33988301230164</v>
      </c>
      <c r="D263">
        <v>4.7387724000000002</v>
      </c>
      <c r="E263">
        <v>430.07042061230163</v>
      </c>
      <c r="F263">
        <v>311.44618716391841</v>
      </c>
      <c r="G263" s="1">
        <f t="shared" si="18"/>
        <v>118.62423344838322</v>
      </c>
      <c r="H263" s="1">
        <f t="shared" si="16"/>
        <v>113.73053760000001</v>
      </c>
      <c r="I263" s="2">
        <f t="shared" si="19"/>
        <v>4.8936958483832171</v>
      </c>
      <c r="J263">
        <f t="shared" si="17"/>
        <v>263</v>
      </c>
    </row>
    <row r="264" spans="2:10" x14ac:dyDescent="0.35">
      <c r="B264">
        <v>264</v>
      </c>
      <c r="C264">
        <v>318.93655170483845</v>
      </c>
      <c r="D264">
        <v>4.809939</v>
      </c>
      <c r="E264">
        <v>434.37508770483845</v>
      </c>
      <c r="F264">
        <v>311.48462859087635</v>
      </c>
      <c r="G264" s="1">
        <f t="shared" si="18"/>
        <v>122.89045911396209</v>
      </c>
      <c r="H264" s="1">
        <f t="shared" si="16"/>
        <v>115.438536</v>
      </c>
      <c r="I264" s="2">
        <f t="shared" si="19"/>
        <v>7.4519231139620956</v>
      </c>
      <c r="J264">
        <f t="shared" si="17"/>
        <v>264</v>
      </c>
    </row>
    <row r="265" spans="2:10" x14ac:dyDescent="0.35">
      <c r="B265">
        <v>265</v>
      </c>
      <c r="C265">
        <v>319.49145772793986</v>
      </c>
      <c r="D265">
        <v>2.9567190000000001</v>
      </c>
      <c r="E265">
        <v>390.45271372793985</v>
      </c>
      <c r="F265">
        <v>312.98493676077203</v>
      </c>
      <c r="G265" s="1">
        <f t="shared" si="18"/>
        <v>77.467776967167822</v>
      </c>
      <c r="H265" s="1">
        <f t="shared" si="16"/>
        <v>70.961256000000006</v>
      </c>
      <c r="I265" s="2">
        <f t="shared" si="19"/>
        <v>6.5065209671678161</v>
      </c>
      <c r="J265">
        <f t="shared" si="17"/>
        <v>265</v>
      </c>
    </row>
    <row r="266" spans="2:10" x14ac:dyDescent="0.35">
      <c r="B266">
        <v>266</v>
      </c>
      <c r="C266">
        <v>320.6694622896739</v>
      </c>
      <c r="D266">
        <v>4.1940369999999998</v>
      </c>
      <c r="E266">
        <v>421.32635028967388</v>
      </c>
      <c r="F266">
        <v>313.97046578613805</v>
      </c>
      <c r="G266" s="1">
        <f t="shared" si="18"/>
        <v>107.35588450353583</v>
      </c>
      <c r="H266" s="1">
        <f t="shared" si="16"/>
        <v>100.656888</v>
      </c>
      <c r="I266" s="2">
        <f t="shared" si="19"/>
        <v>6.6989965035358381</v>
      </c>
      <c r="J266">
        <f t="shared" si="17"/>
        <v>266</v>
      </c>
    </row>
    <row r="267" spans="2:10" x14ac:dyDescent="0.35">
      <c r="B267">
        <v>267</v>
      </c>
      <c r="C267">
        <v>321.15273480080407</v>
      </c>
      <c r="D267">
        <v>3.7138567</v>
      </c>
      <c r="E267">
        <v>410.28529560080403</v>
      </c>
      <c r="F267">
        <v>314.97386577395213</v>
      </c>
      <c r="G267" s="1">
        <f t="shared" si="18"/>
        <v>95.311429826851906</v>
      </c>
      <c r="H267" s="1">
        <f t="shared" si="16"/>
        <v>89.132560799999993</v>
      </c>
      <c r="I267" s="2">
        <f t="shared" si="19"/>
        <v>6.1788690268519133</v>
      </c>
      <c r="J267">
        <f t="shared" si="17"/>
        <v>267</v>
      </c>
    </row>
    <row r="268" spans="2:10" x14ac:dyDescent="0.35">
      <c r="B268">
        <v>268</v>
      </c>
      <c r="C268">
        <v>321.36334614010434</v>
      </c>
      <c r="D268">
        <v>3.1121840000000001</v>
      </c>
      <c r="E268">
        <v>396.05576214010432</v>
      </c>
      <c r="F268">
        <v>316.33988301230164</v>
      </c>
      <c r="G268" s="1">
        <f t="shared" si="18"/>
        <v>79.71587912780268</v>
      </c>
      <c r="H268" s="1">
        <f t="shared" si="16"/>
        <v>74.692416000000009</v>
      </c>
      <c r="I268" s="2">
        <f t="shared" si="19"/>
        <v>5.0234631278026711</v>
      </c>
      <c r="J268">
        <f t="shared" si="17"/>
        <v>268</v>
      </c>
    </row>
    <row r="269" spans="2:10" x14ac:dyDescent="0.35">
      <c r="B269">
        <v>269</v>
      </c>
      <c r="C269">
        <v>323.89615025922541</v>
      </c>
      <c r="D269">
        <v>4.0821139999999998</v>
      </c>
      <c r="E269">
        <v>421.8668862592254</v>
      </c>
      <c r="F269">
        <v>318.93655170483845</v>
      </c>
      <c r="G269" s="1">
        <f t="shared" si="18"/>
        <v>102.93033455438695</v>
      </c>
      <c r="H269" s="1">
        <f t="shared" si="16"/>
        <v>97.970735999999988</v>
      </c>
      <c r="I269" s="2">
        <f t="shared" si="19"/>
        <v>4.9595985543869574</v>
      </c>
      <c r="J269">
        <f t="shared" si="17"/>
        <v>269</v>
      </c>
    </row>
    <row r="270" spans="2:10" x14ac:dyDescent="0.35">
      <c r="B270">
        <v>270</v>
      </c>
      <c r="C270">
        <v>326.27961330474636</v>
      </c>
      <c r="D270">
        <v>3.9230359000000004</v>
      </c>
      <c r="E270">
        <v>420.43247490474636</v>
      </c>
      <c r="F270">
        <v>319.49145772793986</v>
      </c>
      <c r="G270" s="1">
        <f t="shared" si="18"/>
        <v>100.9410171768065</v>
      </c>
      <c r="H270" s="1">
        <f t="shared" si="16"/>
        <v>94.152861600000008</v>
      </c>
      <c r="I270" s="2">
        <f t="shared" si="19"/>
        <v>6.7881555768064885</v>
      </c>
      <c r="J270">
        <f t="shared" si="17"/>
        <v>270</v>
      </c>
    </row>
    <row r="271" spans="2:10" x14ac:dyDescent="0.35">
      <c r="B271">
        <v>271</v>
      </c>
      <c r="C271">
        <v>332.07265099475876</v>
      </c>
      <c r="D271">
        <v>8.7153200000000002</v>
      </c>
      <c r="E271">
        <v>541.24033099475878</v>
      </c>
      <c r="F271">
        <v>320.6694622896739</v>
      </c>
      <c r="G271" s="1">
        <f t="shared" si="18"/>
        <v>220.57086870508488</v>
      </c>
      <c r="H271" s="1">
        <f t="shared" si="16"/>
        <v>209.16768000000002</v>
      </c>
      <c r="I271" s="2">
        <f t="shared" si="19"/>
        <v>11.403188705084858</v>
      </c>
      <c r="J271">
        <f t="shared" si="17"/>
        <v>271</v>
      </c>
    </row>
    <row r="272" spans="2:10" x14ac:dyDescent="0.35">
      <c r="B272">
        <v>272</v>
      </c>
      <c r="C272">
        <v>333.26031958904156</v>
      </c>
      <c r="D272">
        <v>4.6843120000000003</v>
      </c>
      <c r="E272">
        <v>445.68380758904158</v>
      </c>
      <c r="F272">
        <v>321.15273480080407</v>
      </c>
      <c r="G272" s="1">
        <f t="shared" si="18"/>
        <v>124.53107278823751</v>
      </c>
      <c r="H272" s="1">
        <f t="shared" si="16"/>
        <v>112.42348800000001</v>
      </c>
      <c r="I272" s="2">
        <f t="shared" si="19"/>
        <v>12.107584788237503</v>
      </c>
      <c r="J272">
        <f t="shared" si="17"/>
        <v>272</v>
      </c>
    </row>
    <row r="273" spans="2:10" x14ac:dyDescent="0.35">
      <c r="B273">
        <v>273</v>
      </c>
      <c r="C273">
        <v>335.45850631744759</v>
      </c>
      <c r="D273">
        <v>4.0168723999999996</v>
      </c>
      <c r="E273">
        <v>431.86344391744757</v>
      </c>
      <c r="F273">
        <v>321.36334614010434</v>
      </c>
      <c r="G273" s="1">
        <f t="shared" si="18"/>
        <v>110.50009777734323</v>
      </c>
      <c r="H273" s="1">
        <f t="shared" si="16"/>
        <v>96.404937599999982</v>
      </c>
      <c r="I273" s="2">
        <f t="shared" si="19"/>
        <v>14.095160177343246</v>
      </c>
      <c r="J273">
        <f t="shared" si="17"/>
        <v>273</v>
      </c>
    </row>
    <row r="274" spans="2:10" x14ac:dyDescent="0.35">
      <c r="B274">
        <v>274</v>
      </c>
      <c r="C274">
        <v>335.57494716391841</v>
      </c>
      <c r="D274">
        <v>3.4398131000000003</v>
      </c>
      <c r="E274">
        <v>418.1304615639184</v>
      </c>
      <c r="F274">
        <v>323.89615025922541</v>
      </c>
      <c r="G274" s="1">
        <f t="shared" si="18"/>
        <v>94.234311304692994</v>
      </c>
      <c r="H274" s="1">
        <f t="shared" si="16"/>
        <v>82.555514400000007</v>
      </c>
      <c r="I274" s="2">
        <f t="shared" si="19"/>
        <v>11.678796904692987</v>
      </c>
      <c r="J274">
        <f t="shared" si="17"/>
        <v>274</v>
      </c>
    </row>
    <row r="275" spans="2:10" x14ac:dyDescent="0.35">
      <c r="B275">
        <v>275</v>
      </c>
      <c r="C275">
        <v>337.22925052786957</v>
      </c>
      <c r="D275">
        <v>3.7611609999999995</v>
      </c>
      <c r="E275">
        <v>427.4971145278696</v>
      </c>
      <c r="F275">
        <v>326.27961330474636</v>
      </c>
      <c r="G275" s="1">
        <f t="shared" si="18"/>
        <v>101.21750122312324</v>
      </c>
      <c r="H275" s="1">
        <f t="shared" si="16"/>
        <v>90.267863999999989</v>
      </c>
      <c r="I275" s="2">
        <f t="shared" si="19"/>
        <v>10.949637223123247</v>
      </c>
      <c r="J275">
        <f t="shared" si="17"/>
        <v>275</v>
      </c>
    </row>
    <row r="276" spans="2:10" x14ac:dyDescent="0.35">
      <c r="B276">
        <v>276</v>
      </c>
      <c r="C276">
        <v>337.85356594598295</v>
      </c>
      <c r="D276">
        <v>2.6910326000000002</v>
      </c>
      <c r="E276">
        <v>402.43834834598294</v>
      </c>
      <c r="F276">
        <v>332.07265099475876</v>
      </c>
      <c r="G276" s="1">
        <f t="shared" si="18"/>
        <v>70.365697351224185</v>
      </c>
      <c r="H276" s="1">
        <f t="shared" si="16"/>
        <v>64.584782400000009</v>
      </c>
      <c r="I276" s="2">
        <f t="shared" si="19"/>
        <v>5.780914951224176</v>
      </c>
      <c r="J276">
        <f t="shared" si="17"/>
        <v>276</v>
      </c>
    </row>
    <row r="277" spans="2:10" x14ac:dyDescent="0.35">
      <c r="B277">
        <v>277</v>
      </c>
      <c r="C277">
        <v>338.06356402648913</v>
      </c>
      <c r="D277">
        <v>0.91738929999999996</v>
      </c>
      <c r="E277">
        <v>360.0809072264891</v>
      </c>
      <c r="F277">
        <v>333.26031958904156</v>
      </c>
      <c r="G277" s="1">
        <f t="shared" si="18"/>
        <v>26.820587637447545</v>
      </c>
      <c r="H277" s="1">
        <f t="shared" si="16"/>
        <v>22.017343199999999</v>
      </c>
      <c r="I277" s="2">
        <f t="shared" si="19"/>
        <v>4.803244437447546</v>
      </c>
      <c r="J277">
        <f t="shared" si="17"/>
        <v>277</v>
      </c>
    </row>
    <row r="278" spans="2:10" x14ac:dyDescent="0.35">
      <c r="B278">
        <v>278</v>
      </c>
      <c r="C278">
        <v>339.31967226348866</v>
      </c>
      <c r="D278">
        <v>3.911041</v>
      </c>
      <c r="E278">
        <v>433.18465626348865</v>
      </c>
      <c r="F278">
        <v>335.45850631744759</v>
      </c>
      <c r="G278" s="1">
        <f t="shared" si="18"/>
        <v>97.726149946041062</v>
      </c>
      <c r="H278" s="1">
        <f t="shared" si="16"/>
        <v>93.864983999999993</v>
      </c>
      <c r="I278" s="2">
        <f t="shared" si="19"/>
        <v>3.8611659460410692</v>
      </c>
      <c r="J278">
        <f t="shared" si="17"/>
        <v>278</v>
      </c>
    </row>
    <row r="279" spans="2:10" x14ac:dyDescent="0.35">
      <c r="B279">
        <v>279</v>
      </c>
      <c r="C279">
        <v>340.86680362804304</v>
      </c>
      <c r="D279">
        <v>2.8950833999999999</v>
      </c>
      <c r="E279">
        <v>410.34880522804303</v>
      </c>
      <c r="F279">
        <v>335.57494716391841</v>
      </c>
      <c r="G279" s="1">
        <f t="shared" si="18"/>
        <v>74.773858064124624</v>
      </c>
      <c r="H279" s="1">
        <f t="shared" si="16"/>
        <v>69.48200159999999</v>
      </c>
      <c r="I279" s="2">
        <f t="shared" si="19"/>
        <v>5.2918564641246348</v>
      </c>
      <c r="J279">
        <f t="shared" si="17"/>
        <v>279</v>
      </c>
    </row>
    <row r="280" spans="2:10" x14ac:dyDescent="0.35">
      <c r="B280">
        <v>280</v>
      </c>
      <c r="C280">
        <v>341.12741133361476</v>
      </c>
      <c r="D280">
        <v>1.7112087000000002</v>
      </c>
      <c r="E280">
        <v>382.19642013361477</v>
      </c>
      <c r="F280">
        <v>337.22925052786957</v>
      </c>
      <c r="G280" s="1">
        <f t="shared" si="18"/>
        <v>44.967169605745198</v>
      </c>
      <c r="H280" s="1">
        <f t="shared" si="16"/>
        <v>41.069008800000006</v>
      </c>
      <c r="I280" s="2">
        <f t="shared" si="19"/>
        <v>3.8981608057451922</v>
      </c>
      <c r="J280">
        <f t="shared" si="17"/>
        <v>280</v>
      </c>
    </row>
    <row r="281" spans="2:10" x14ac:dyDescent="0.35">
      <c r="B281">
        <v>281</v>
      </c>
      <c r="C281">
        <v>342.33715998256156</v>
      </c>
      <c r="D281">
        <v>1.8568037999999998</v>
      </c>
      <c r="E281">
        <v>386.90045118256154</v>
      </c>
      <c r="F281">
        <v>337.85356594598295</v>
      </c>
      <c r="G281" s="1">
        <f t="shared" si="18"/>
        <v>49.046885236578589</v>
      </c>
      <c r="H281" s="1">
        <f t="shared" si="16"/>
        <v>44.563291199999995</v>
      </c>
      <c r="I281" s="2">
        <f t="shared" si="19"/>
        <v>4.4835940365785945</v>
      </c>
      <c r="J281">
        <f t="shared" si="17"/>
        <v>281</v>
      </c>
    </row>
    <row r="282" spans="2:10" x14ac:dyDescent="0.35">
      <c r="B282">
        <v>282</v>
      </c>
      <c r="C282">
        <v>342.42656262242633</v>
      </c>
      <c r="D282">
        <v>5.5549629999999999</v>
      </c>
      <c r="E282">
        <v>475.74567462242635</v>
      </c>
      <c r="F282">
        <v>338.06356402648913</v>
      </c>
      <c r="G282" s="1">
        <f t="shared" si="18"/>
        <v>137.68211059593722</v>
      </c>
      <c r="H282" s="1">
        <f t="shared" si="16"/>
        <v>133.31911199999999</v>
      </c>
      <c r="I282" s="2">
        <f t="shared" si="19"/>
        <v>4.3629985959372277</v>
      </c>
      <c r="J282">
        <f t="shared" si="17"/>
        <v>282</v>
      </c>
    </row>
    <row r="283" spans="2:10" x14ac:dyDescent="0.35">
      <c r="B283">
        <v>283</v>
      </c>
      <c r="C283">
        <v>343.17757398888557</v>
      </c>
      <c r="D283">
        <v>4.0045156000000004</v>
      </c>
      <c r="E283">
        <v>439.28594838888557</v>
      </c>
      <c r="F283">
        <v>339.31967226348866</v>
      </c>
      <c r="G283" s="1">
        <f t="shared" si="18"/>
        <v>99.966276125396917</v>
      </c>
      <c r="H283" s="1">
        <f t="shared" si="16"/>
        <v>96.108374400000002</v>
      </c>
      <c r="I283" s="2">
        <f t="shared" si="19"/>
        <v>3.8579017253969141</v>
      </c>
      <c r="J283">
        <f t="shared" si="17"/>
        <v>283</v>
      </c>
    </row>
    <row r="284" spans="2:10" x14ac:dyDescent="0.35">
      <c r="B284">
        <v>284</v>
      </c>
      <c r="C284">
        <v>344.39682491809447</v>
      </c>
      <c r="D284">
        <v>1.9908326000000001</v>
      </c>
      <c r="E284">
        <v>392.17680731809446</v>
      </c>
      <c r="F284">
        <v>340.86680362804304</v>
      </c>
      <c r="G284" s="1">
        <f t="shared" si="18"/>
        <v>51.310003690051417</v>
      </c>
      <c r="H284" s="1">
        <f t="shared" si="16"/>
        <v>47.779982400000002</v>
      </c>
      <c r="I284" s="2">
        <f t="shared" si="19"/>
        <v>3.5300212900514154</v>
      </c>
      <c r="J284">
        <f t="shared" si="17"/>
        <v>284</v>
      </c>
    </row>
    <row r="285" spans="2:10" x14ac:dyDescent="0.35">
      <c r="B285">
        <v>285</v>
      </c>
      <c r="C285">
        <v>345.28886919387895</v>
      </c>
      <c r="D285">
        <v>4.4270085999999997</v>
      </c>
      <c r="E285">
        <v>451.53707559387897</v>
      </c>
      <c r="F285">
        <v>341.12741133361476</v>
      </c>
      <c r="G285" s="1">
        <f t="shared" si="18"/>
        <v>110.40966426026421</v>
      </c>
      <c r="H285" s="1">
        <f t="shared" si="16"/>
        <v>106.24820639999999</v>
      </c>
      <c r="I285" s="2">
        <f t="shared" si="19"/>
        <v>4.1614578602642212</v>
      </c>
      <c r="J285">
        <f t="shared" si="17"/>
        <v>285</v>
      </c>
    </row>
    <row r="286" spans="2:10" x14ac:dyDescent="0.35">
      <c r="B286">
        <v>286</v>
      </c>
      <c r="C286">
        <v>346.23536879499011</v>
      </c>
      <c r="D286">
        <v>4.8927180000000003</v>
      </c>
      <c r="E286">
        <v>463.6606007949901</v>
      </c>
      <c r="F286">
        <v>342.33715998256156</v>
      </c>
      <c r="G286" s="1">
        <f t="shared" si="18"/>
        <v>121.32344081242854</v>
      </c>
      <c r="H286" s="1">
        <f t="shared" si="16"/>
        <v>117.42523200000001</v>
      </c>
      <c r="I286" s="2">
        <f t="shared" si="19"/>
        <v>3.8982088124285355</v>
      </c>
      <c r="J286">
        <f t="shared" si="17"/>
        <v>286</v>
      </c>
    </row>
    <row r="287" spans="2:10" x14ac:dyDescent="0.35">
      <c r="B287">
        <v>287</v>
      </c>
      <c r="C287">
        <v>346.69864993130841</v>
      </c>
      <c r="D287">
        <v>2.9346008000000001</v>
      </c>
      <c r="E287">
        <v>417.12906913130843</v>
      </c>
      <c r="F287">
        <v>342.42656262242633</v>
      </c>
      <c r="G287" s="1">
        <f t="shared" si="18"/>
        <v>74.702506508882095</v>
      </c>
      <c r="H287" s="1">
        <f t="shared" si="16"/>
        <v>70.430419200000003</v>
      </c>
      <c r="I287" s="2">
        <f t="shared" si="19"/>
        <v>4.2720873088820923</v>
      </c>
      <c r="J287">
        <f t="shared" si="17"/>
        <v>287</v>
      </c>
    </row>
    <row r="288" spans="2:10" x14ac:dyDescent="0.35">
      <c r="B288">
        <v>288</v>
      </c>
      <c r="C288">
        <v>347.34186348391688</v>
      </c>
      <c r="D288">
        <v>2.9414359999999999</v>
      </c>
      <c r="E288">
        <v>417.9363274839169</v>
      </c>
      <c r="F288">
        <v>343.17757398888557</v>
      </c>
      <c r="G288" s="1">
        <f t="shared" si="18"/>
        <v>74.758753495031328</v>
      </c>
      <c r="H288" s="1">
        <f t="shared" si="16"/>
        <v>70.594464000000002</v>
      </c>
      <c r="I288" s="2">
        <f t="shared" si="19"/>
        <v>4.1642894950313263</v>
      </c>
      <c r="J288">
        <f t="shared" si="17"/>
        <v>288</v>
      </c>
    </row>
    <row r="289" spans="2:10" x14ac:dyDescent="0.35">
      <c r="B289">
        <v>289</v>
      </c>
      <c r="C289">
        <v>352.65289776982183</v>
      </c>
      <c r="D289">
        <v>4.9890660000000002</v>
      </c>
      <c r="E289">
        <v>472.39048176982186</v>
      </c>
      <c r="F289">
        <v>344.39682491809447</v>
      </c>
      <c r="G289" s="1">
        <f t="shared" si="18"/>
        <v>127.99365685172739</v>
      </c>
      <c r="H289" s="1">
        <f t="shared" si="16"/>
        <v>119.737584</v>
      </c>
      <c r="I289" s="2">
        <f t="shared" si="19"/>
        <v>8.2560728517273958</v>
      </c>
      <c r="J289">
        <f t="shared" si="17"/>
        <v>289</v>
      </c>
    </row>
    <row r="290" spans="2:10" x14ac:dyDescent="0.35">
      <c r="B290">
        <v>290</v>
      </c>
      <c r="C290">
        <v>353.55541971494222</v>
      </c>
      <c r="D290">
        <v>4.9603979999999996</v>
      </c>
      <c r="E290">
        <v>472.60497171494222</v>
      </c>
      <c r="F290">
        <v>345.28886919387895</v>
      </c>
      <c r="G290" s="1">
        <f t="shared" si="18"/>
        <v>127.31610252106327</v>
      </c>
      <c r="H290" s="1">
        <f t="shared" si="16"/>
        <v>119.04955199999999</v>
      </c>
      <c r="I290" s="2">
        <f t="shared" si="19"/>
        <v>8.2665505210632801</v>
      </c>
      <c r="J290">
        <f t="shared" si="17"/>
        <v>290</v>
      </c>
    </row>
    <row r="291" spans="2:10" x14ac:dyDescent="0.35">
      <c r="B291">
        <v>291</v>
      </c>
      <c r="C291">
        <v>354.11285915060853</v>
      </c>
      <c r="D291">
        <v>6.2996983999999996</v>
      </c>
      <c r="E291">
        <v>505.30562075060851</v>
      </c>
      <c r="F291">
        <v>346.23536879499011</v>
      </c>
      <c r="G291" s="1">
        <f t="shared" si="18"/>
        <v>159.0702519556184</v>
      </c>
      <c r="H291" s="1">
        <f t="shared" si="16"/>
        <v>151.19276159999998</v>
      </c>
      <c r="I291" s="2">
        <f t="shared" si="19"/>
        <v>7.8774903556184199</v>
      </c>
      <c r="J291">
        <f t="shared" si="17"/>
        <v>291</v>
      </c>
    </row>
    <row r="292" spans="2:10" x14ac:dyDescent="0.35">
      <c r="B292">
        <v>292</v>
      </c>
      <c r="C292">
        <v>355.32394190310293</v>
      </c>
      <c r="D292">
        <v>7.8372293000000006</v>
      </c>
      <c r="E292">
        <v>543.41744510310298</v>
      </c>
      <c r="F292">
        <v>346.69864993130841</v>
      </c>
      <c r="G292" s="1">
        <f t="shared" si="18"/>
        <v>196.71879517179457</v>
      </c>
      <c r="H292" s="1">
        <f t="shared" si="16"/>
        <v>188.09350320000001</v>
      </c>
      <c r="I292" s="2">
        <f t="shared" si="19"/>
        <v>8.6252919717945531</v>
      </c>
      <c r="J292">
        <f t="shared" si="17"/>
        <v>292</v>
      </c>
    </row>
    <row r="293" spans="2:10" x14ac:dyDescent="0.35">
      <c r="B293">
        <v>293</v>
      </c>
      <c r="C293">
        <v>355.47153360115743</v>
      </c>
      <c r="D293">
        <v>6.0593367000000002</v>
      </c>
      <c r="E293">
        <v>500.89561440115745</v>
      </c>
      <c r="F293">
        <v>347.34186348391688</v>
      </c>
      <c r="G293" s="1">
        <f t="shared" si="18"/>
        <v>153.55375091724056</v>
      </c>
      <c r="H293" s="1">
        <f t="shared" si="16"/>
        <v>145.42408080000001</v>
      </c>
      <c r="I293" s="2">
        <f t="shared" si="19"/>
        <v>8.1296701172405506</v>
      </c>
      <c r="J293">
        <f t="shared" si="17"/>
        <v>293</v>
      </c>
    </row>
    <row r="294" spans="2:10" x14ac:dyDescent="0.35">
      <c r="B294">
        <v>294</v>
      </c>
      <c r="C294">
        <v>355.6101430983461</v>
      </c>
      <c r="D294">
        <v>3.9445335999999998</v>
      </c>
      <c r="E294">
        <v>450.27894949834609</v>
      </c>
      <c r="F294">
        <v>352.65289776982183</v>
      </c>
      <c r="G294" s="1">
        <f t="shared" si="18"/>
        <v>97.62605172852426</v>
      </c>
      <c r="H294" s="1">
        <f t="shared" si="16"/>
        <v>94.668806399999994</v>
      </c>
      <c r="I294" s="2">
        <f t="shared" si="19"/>
        <v>2.9572453285242659</v>
      </c>
      <c r="J294">
        <f t="shared" si="17"/>
        <v>294</v>
      </c>
    </row>
    <row r="295" spans="2:10" x14ac:dyDescent="0.35">
      <c r="B295">
        <v>295</v>
      </c>
      <c r="C295">
        <v>356.65077977147132</v>
      </c>
      <c r="D295">
        <v>1.9555968999999997</v>
      </c>
      <c r="E295">
        <v>403.58510537147134</v>
      </c>
      <c r="F295">
        <v>353.55541971494222</v>
      </c>
      <c r="G295" s="1">
        <f t="shared" si="18"/>
        <v>50.029685656529125</v>
      </c>
      <c r="H295" s="1">
        <f t="shared" si="16"/>
        <v>46.934325599999994</v>
      </c>
      <c r="I295" s="2">
        <f t="shared" si="19"/>
        <v>3.095360056529131</v>
      </c>
      <c r="J295">
        <f t="shared" si="17"/>
        <v>295</v>
      </c>
    </row>
    <row r="296" spans="2:10" x14ac:dyDescent="0.35">
      <c r="B296">
        <v>296</v>
      </c>
      <c r="C296">
        <v>359.09585213454403</v>
      </c>
      <c r="D296">
        <v>6.6843076000000003</v>
      </c>
      <c r="E296">
        <v>519.51923453454401</v>
      </c>
      <c r="F296">
        <v>354.11285915060853</v>
      </c>
      <c r="G296" s="1">
        <f t="shared" si="18"/>
        <v>165.40637538393548</v>
      </c>
      <c r="H296" s="1">
        <f t="shared" si="16"/>
        <v>160.42338240000001</v>
      </c>
      <c r="I296" s="2">
        <f t="shared" si="19"/>
        <v>4.9829929839354747</v>
      </c>
      <c r="J296">
        <f t="shared" si="17"/>
        <v>296</v>
      </c>
    </row>
    <row r="297" spans="2:10" x14ac:dyDescent="0.35">
      <c r="B297">
        <v>297</v>
      </c>
      <c r="C297">
        <v>359.46428460073071</v>
      </c>
      <c r="D297">
        <v>4.5776314999999999</v>
      </c>
      <c r="E297">
        <v>469.32744060073071</v>
      </c>
      <c r="F297">
        <v>355.32394190310293</v>
      </c>
      <c r="G297" s="1">
        <f t="shared" si="18"/>
        <v>114.00349869762778</v>
      </c>
      <c r="H297" s="1">
        <f t="shared" si="16"/>
        <v>109.863156</v>
      </c>
      <c r="I297" s="2">
        <f t="shared" si="19"/>
        <v>4.1403426976277728</v>
      </c>
      <c r="J297">
        <f t="shared" si="17"/>
        <v>297</v>
      </c>
    </row>
    <row r="298" spans="2:10" x14ac:dyDescent="0.35">
      <c r="B298">
        <v>298</v>
      </c>
      <c r="C298">
        <v>360.0809072264891</v>
      </c>
      <c r="D298">
        <v>2.1142116</v>
      </c>
      <c r="E298">
        <v>410.8219856264891</v>
      </c>
      <c r="F298">
        <v>355.47153360115743</v>
      </c>
      <c r="G298" s="1">
        <f t="shared" si="18"/>
        <v>55.350452025331663</v>
      </c>
      <c r="H298" s="1">
        <f t="shared" si="16"/>
        <v>50.741078399999999</v>
      </c>
      <c r="I298" s="2">
        <f t="shared" si="19"/>
        <v>4.6093736253316635</v>
      </c>
      <c r="J298">
        <f t="shared" si="17"/>
        <v>298</v>
      </c>
    </row>
    <row r="299" spans="2:10" x14ac:dyDescent="0.35">
      <c r="B299">
        <v>299</v>
      </c>
      <c r="C299">
        <v>360.5786038104672</v>
      </c>
      <c r="D299">
        <v>4.0376042999999999</v>
      </c>
      <c r="E299">
        <v>457.48110701046721</v>
      </c>
      <c r="F299">
        <v>355.6101430983461</v>
      </c>
      <c r="G299" s="1">
        <f t="shared" si="18"/>
        <v>101.87096391212111</v>
      </c>
      <c r="H299" s="1">
        <f t="shared" si="16"/>
        <v>96.902503199999998</v>
      </c>
      <c r="I299" s="2">
        <f t="shared" si="19"/>
        <v>4.9684607121211144</v>
      </c>
      <c r="J299">
        <f t="shared" si="17"/>
        <v>299</v>
      </c>
    </row>
    <row r="300" spans="2:10" x14ac:dyDescent="0.35">
      <c r="B300">
        <v>300</v>
      </c>
      <c r="C300">
        <v>362.74148204222865</v>
      </c>
      <c r="D300">
        <v>5.0277814999999997</v>
      </c>
      <c r="E300">
        <v>483.40823804222862</v>
      </c>
      <c r="F300">
        <v>356.65077977147132</v>
      </c>
      <c r="G300" s="1">
        <f t="shared" si="18"/>
        <v>126.7574582707573</v>
      </c>
      <c r="H300" s="1">
        <f t="shared" si="16"/>
        <v>120.66675599999999</v>
      </c>
      <c r="I300" s="2">
        <f t="shared" si="19"/>
        <v>6.0907022707573049</v>
      </c>
      <c r="J300">
        <f t="shared" si="17"/>
        <v>300</v>
      </c>
    </row>
    <row r="301" spans="2:10" x14ac:dyDescent="0.35">
      <c r="B301">
        <v>301</v>
      </c>
      <c r="C301">
        <v>363.1174958442121</v>
      </c>
      <c r="D301">
        <v>1.7145212999999999</v>
      </c>
      <c r="E301">
        <v>404.26600704421207</v>
      </c>
      <c r="F301">
        <v>359.09585213454403</v>
      </c>
      <c r="G301" s="1">
        <f t="shared" si="18"/>
        <v>45.170154909668042</v>
      </c>
      <c r="H301" s="1">
        <f t="shared" si="16"/>
        <v>41.148511200000002</v>
      </c>
      <c r="I301" s="2">
        <f t="shared" si="19"/>
        <v>4.0216437096680409</v>
      </c>
      <c r="J301">
        <f t="shared" si="17"/>
        <v>301</v>
      </c>
    </row>
    <row r="302" spans="2:10" x14ac:dyDescent="0.35">
      <c r="B302">
        <v>302</v>
      </c>
      <c r="C302">
        <v>363.31663755923523</v>
      </c>
      <c r="D302">
        <v>6.2877355000000001</v>
      </c>
      <c r="E302">
        <v>514.22228955923515</v>
      </c>
      <c r="F302">
        <v>359.46428460073071</v>
      </c>
      <c r="G302" s="1">
        <f t="shared" si="18"/>
        <v>154.75800495850444</v>
      </c>
      <c r="H302" s="1">
        <f t="shared" si="16"/>
        <v>150.905652</v>
      </c>
      <c r="I302" s="2">
        <f t="shared" si="19"/>
        <v>3.85235295850444</v>
      </c>
      <c r="J302">
        <f t="shared" si="17"/>
        <v>302</v>
      </c>
    </row>
    <row r="303" spans="2:10" x14ac:dyDescent="0.35">
      <c r="B303">
        <v>303</v>
      </c>
      <c r="C303">
        <v>363.34633063033965</v>
      </c>
      <c r="D303">
        <v>2.6668612999999999</v>
      </c>
      <c r="E303">
        <v>427.35100183033967</v>
      </c>
      <c r="F303">
        <v>360.0809072264891</v>
      </c>
      <c r="G303" s="1">
        <f t="shared" si="18"/>
        <v>67.270094603850566</v>
      </c>
      <c r="H303" s="1">
        <f t="shared" si="16"/>
        <v>64.00467119999999</v>
      </c>
      <c r="I303" s="2">
        <f t="shared" si="19"/>
        <v>3.2654234038505763</v>
      </c>
      <c r="J303">
        <f t="shared" si="17"/>
        <v>303</v>
      </c>
    </row>
    <row r="304" spans="2:10" x14ac:dyDescent="0.35">
      <c r="B304">
        <v>304</v>
      </c>
      <c r="C304">
        <v>366.71047891110106</v>
      </c>
      <c r="D304">
        <v>2.5257944999999999</v>
      </c>
      <c r="E304">
        <v>427.32954691110109</v>
      </c>
      <c r="F304">
        <v>360.5786038104672</v>
      </c>
      <c r="G304" s="1">
        <f t="shared" si="18"/>
        <v>66.75094310063389</v>
      </c>
      <c r="H304" s="1">
        <f t="shared" si="16"/>
        <v>60.619067999999999</v>
      </c>
      <c r="I304" s="2">
        <f t="shared" si="19"/>
        <v>6.1318751006338914</v>
      </c>
      <c r="J304">
        <f t="shared" si="17"/>
        <v>304</v>
      </c>
    </row>
    <row r="305" spans="2:10" x14ac:dyDescent="0.35">
      <c r="B305">
        <v>305</v>
      </c>
      <c r="C305">
        <v>366.7824941363188</v>
      </c>
      <c r="D305">
        <v>1.8125255999999998</v>
      </c>
      <c r="E305">
        <v>410.28310853631882</v>
      </c>
      <c r="F305">
        <v>362.74148204222865</v>
      </c>
      <c r="G305" s="1">
        <f t="shared" si="18"/>
        <v>47.541626494090167</v>
      </c>
      <c r="H305" s="1">
        <f t="shared" si="16"/>
        <v>43.500614399999996</v>
      </c>
      <c r="I305" s="2">
        <f t="shared" si="19"/>
        <v>4.0410120940901706</v>
      </c>
      <c r="J305">
        <f t="shared" si="17"/>
        <v>305</v>
      </c>
    </row>
    <row r="306" spans="2:10" x14ac:dyDescent="0.35">
      <c r="B306">
        <v>306</v>
      </c>
      <c r="C306">
        <v>367.91552280888823</v>
      </c>
      <c r="D306">
        <v>2.5592440000000001</v>
      </c>
      <c r="E306">
        <v>429.33737880888822</v>
      </c>
      <c r="F306">
        <v>363.1174958442121</v>
      </c>
      <c r="G306" s="1">
        <f t="shared" si="18"/>
        <v>66.219882964676117</v>
      </c>
      <c r="H306" s="1">
        <f t="shared" si="16"/>
        <v>61.421856000000005</v>
      </c>
      <c r="I306" s="2">
        <f t="shared" si="19"/>
        <v>4.7980269646761116</v>
      </c>
      <c r="J306">
        <f t="shared" si="17"/>
        <v>306</v>
      </c>
    </row>
    <row r="307" spans="2:10" x14ac:dyDescent="0.35">
      <c r="B307">
        <v>307</v>
      </c>
      <c r="C307">
        <v>369.40108316694352</v>
      </c>
      <c r="D307">
        <v>2.940156</v>
      </c>
      <c r="E307">
        <v>439.96482716694351</v>
      </c>
      <c r="F307">
        <v>363.31663755923523</v>
      </c>
      <c r="G307" s="1">
        <f t="shared" si="18"/>
        <v>76.648189607708275</v>
      </c>
      <c r="H307" s="1">
        <f t="shared" si="16"/>
        <v>70.563744</v>
      </c>
      <c r="I307" s="2">
        <f t="shared" si="19"/>
        <v>6.0844456077082754</v>
      </c>
      <c r="J307">
        <f t="shared" si="17"/>
        <v>307</v>
      </c>
    </row>
    <row r="308" spans="2:10" x14ac:dyDescent="0.35">
      <c r="B308">
        <v>308</v>
      </c>
      <c r="C308">
        <v>374.32800601504209</v>
      </c>
      <c r="D308">
        <v>4.7406196999999999</v>
      </c>
      <c r="E308">
        <v>488.10287881504212</v>
      </c>
      <c r="F308">
        <v>363.34633063033965</v>
      </c>
      <c r="G308" s="1">
        <f t="shared" si="18"/>
        <v>124.75654818470247</v>
      </c>
      <c r="H308" s="1">
        <f t="shared" si="16"/>
        <v>113.7748728</v>
      </c>
      <c r="I308" s="2">
        <f t="shared" si="19"/>
        <v>10.98167538470247</v>
      </c>
      <c r="J308">
        <f t="shared" si="17"/>
        <v>308</v>
      </c>
    </row>
    <row r="309" spans="2:10" x14ac:dyDescent="0.35">
      <c r="B309">
        <v>309</v>
      </c>
      <c r="C309">
        <v>375.36108699146718</v>
      </c>
      <c r="D309">
        <v>2.6186535000000002</v>
      </c>
      <c r="E309">
        <v>438.20877099146719</v>
      </c>
      <c r="F309">
        <v>366.71047891110106</v>
      </c>
      <c r="G309" s="1">
        <f t="shared" si="18"/>
        <v>71.498292080366127</v>
      </c>
      <c r="H309" s="1">
        <f t="shared" si="16"/>
        <v>62.847684000000001</v>
      </c>
      <c r="I309" s="2">
        <f t="shared" si="19"/>
        <v>8.6506080803661263</v>
      </c>
      <c r="J309">
        <f t="shared" si="17"/>
        <v>309</v>
      </c>
    </row>
    <row r="310" spans="2:10" x14ac:dyDescent="0.35">
      <c r="B310">
        <v>310</v>
      </c>
      <c r="C310">
        <v>375.97019686052067</v>
      </c>
      <c r="D310">
        <v>5.5344667000000003</v>
      </c>
      <c r="E310">
        <v>508.79739766052069</v>
      </c>
      <c r="F310">
        <v>366.7824941363188</v>
      </c>
      <c r="G310" s="1">
        <f t="shared" si="18"/>
        <v>142.01490352420188</v>
      </c>
      <c r="H310" s="1">
        <f t="shared" si="16"/>
        <v>132.82720080000001</v>
      </c>
      <c r="I310" s="2">
        <f t="shared" si="19"/>
        <v>9.1877027242018698</v>
      </c>
      <c r="J310">
        <f t="shared" si="17"/>
        <v>310</v>
      </c>
    </row>
    <row r="311" spans="2:10" x14ac:dyDescent="0.35">
      <c r="B311">
        <v>311</v>
      </c>
      <c r="C311">
        <v>377.23839323532309</v>
      </c>
      <c r="D311">
        <v>2.1544496999999998</v>
      </c>
      <c r="E311">
        <v>428.9451860353231</v>
      </c>
      <c r="F311">
        <v>367.91552280888823</v>
      </c>
      <c r="G311" s="1">
        <f t="shared" si="18"/>
        <v>61.029663226434877</v>
      </c>
      <c r="H311" s="1">
        <f t="shared" si="16"/>
        <v>51.706792799999995</v>
      </c>
      <c r="I311" s="2">
        <f t="shared" si="19"/>
        <v>9.3228704264348821</v>
      </c>
      <c r="J311">
        <f t="shared" si="17"/>
        <v>311</v>
      </c>
    </row>
    <row r="312" spans="2:10" x14ac:dyDescent="0.35">
      <c r="B312">
        <v>312</v>
      </c>
      <c r="C312">
        <v>379.8737829297263</v>
      </c>
      <c r="D312">
        <v>3.7180137999999996</v>
      </c>
      <c r="E312">
        <v>469.10611412972628</v>
      </c>
      <c r="F312">
        <v>369.40108316694352</v>
      </c>
      <c r="G312" s="1">
        <f t="shared" si="18"/>
        <v>99.705030962782757</v>
      </c>
      <c r="H312" s="1">
        <f t="shared" si="16"/>
        <v>89.23233119999999</v>
      </c>
      <c r="I312" s="2">
        <f t="shared" si="19"/>
        <v>10.472699762782767</v>
      </c>
      <c r="J312">
        <f t="shared" si="17"/>
        <v>312</v>
      </c>
    </row>
    <row r="313" spans="2:10" x14ac:dyDescent="0.35">
      <c r="B313">
        <v>313</v>
      </c>
      <c r="C313">
        <v>381.04928594563694</v>
      </c>
      <c r="D313">
        <v>4.1930847</v>
      </c>
      <c r="E313">
        <v>481.68331874563694</v>
      </c>
      <c r="F313">
        <v>374.32800601504209</v>
      </c>
      <c r="G313" s="1">
        <f t="shared" si="18"/>
        <v>107.35531273059485</v>
      </c>
      <c r="H313" s="1">
        <f t="shared" si="16"/>
        <v>100.6340328</v>
      </c>
      <c r="I313" s="2">
        <f t="shared" si="19"/>
        <v>6.7212799305948465</v>
      </c>
      <c r="J313">
        <f t="shared" si="17"/>
        <v>313</v>
      </c>
    </row>
    <row r="314" spans="2:10" x14ac:dyDescent="0.35">
      <c r="B314">
        <v>314</v>
      </c>
      <c r="C314">
        <v>381.68892988253765</v>
      </c>
      <c r="D314">
        <v>4.9031690000000001</v>
      </c>
      <c r="E314">
        <v>499.36498588253767</v>
      </c>
      <c r="F314">
        <v>375.36108699146718</v>
      </c>
      <c r="G314" s="1">
        <f t="shared" si="18"/>
        <v>124.00389889107049</v>
      </c>
      <c r="H314" s="1">
        <f t="shared" si="16"/>
        <v>117.676056</v>
      </c>
      <c r="I314" s="2">
        <f t="shared" si="19"/>
        <v>6.3278428910704889</v>
      </c>
      <c r="J314">
        <f t="shared" si="17"/>
        <v>314</v>
      </c>
    </row>
    <row r="315" spans="2:10" x14ac:dyDescent="0.35">
      <c r="B315">
        <v>315</v>
      </c>
      <c r="C315">
        <v>382.19642013361477</v>
      </c>
      <c r="D315">
        <v>4.4970829999999999</v>
      </c>
      <c r="E315">
        <v>490.12641213361474</v>
      </c>
      <c r="F315">
        <v>375.97019686052067</v>
      </c>
      <c r="G315" s="1">
        <f t="shared" si="18"/>
        <v>114.15621527309406</v>
      </c>
      <c r="H315" s="1">
        <f t="shared" si="16"/>
        <v>107.929992</v>
      </c>
      <c r="I315" s="2">
        <f t="shared" si="19"/>
        <v>6.2262232730940639</v>
      </c>
      <c r="J315">
        <f t="shared" si="17"/>
        <v>315</v>
      </c>
    </row>
    <row r="316" spans="2:10" x14ac:dyDescent="0.35">
      <c r="B316">
        <v>316</v>
      </c>
      <c r="C316">
        <v>386.90045118256154</v>
      </c>
      <c r="D316">
        <v>3.4510399999999999</v>
      </c>
      <c r="E316">
        <v>469.72541118256152</v>
      </c>
      <c r="F316">
        <v>377.23839323532309</v>
      </c>
      <c r="G316" s="1">
        <f t="shared" si="18"/>
        <v>92.487017947238428</v>
      </c>
      <c r="H316" s="1">
        <f t="shared" si="16"/>
        <v>82.824960000000004</v>
      </c>
      <c r="I316" s="2">
        <f t="shared" si="19"/>
        <v>9.6620579472384236</v>
      </c>
      <c r="J316">
        <f t="shared" si="17"/>
        <v>316</v>
      </c>
    </row>
    <row r="317" spans="2:10" x14ac:dyDescent="0.35">
      <c r="B317">
        <v>317</v>
      </c>
      <c r="C317">
        <v>390.45271372793985</v>
      </c>
      <c r="D317">
        <v>6.6344856999999999</v>
      </c>
      <c r="E317">
        <v>549.68037052793989</v>
      </c>
      <c r="F317">
        <v>379.8737829297263</v>
      </c>
      <c r="G317" s="1">
        <f t="shared" si="18"/>
        <v>169.80658759821358</v>
      </c>
      <c r="H317" s="1">
        <f t="shared" si="16"/>
        <v>159.22765680000001</v>
      </c>
      <c r="I317" s="2">
        <f t="shared" si="19"/>
        <v>10.578930798213577</v>
      </c>
      <c r="J317">
        <f t="shared" si="17"/>
        <v>317</v>
      </c>
    </row>
    <row r="318" spans="2:10" x14ac:dyDescent="0.35">
      <c r="B318">
        <v>318</v>
      </c>
      <c r="C318">
        <v>390.90163378884967</v>
      </c>
      <c r="D318">
        <v>6.49444</v>
      </c>
      <c r="E318">
        <v>546.76819378884966</v>
      </c>
      <c r="F318">
        <v>381.04928594563694</v>
      </c>
      <c r="G318" s="1">
        <f t="shared" si="18"/>
        <v>165.71890784321272</v>
      </c>
      <c r="H318" s="1">
        <f t="shared" si="16"/>
        <v>155.86655999999999</v>
      </c>
      <c r="I318" s="2">
        <f t="shared" si="19"/>
        <v>9.8523478432127263</v>
      </c>
      <c r="J318">
        <f t="shared" si="17"/>
        <v>318</v>
      </c>
    </row>
    <row r="319" spans="2:10" x14ac:dyDescent="0.35">
      <c r="B319">
        <v>319</v>
      </c>
      <c r="C319">
        <v>392.17680731809446</v>
      </c>
      <c r="D319">
        <v>3.0090146000000004</v>
      </c>
      <c r="E319">
        <v>464.39315771809447</v>
      </c>
      <c r="F319">
        <v>381.68892988253765</v>
      </c>
      <c r="G319" s="1">
        <f t="shared" si="18"/>
        <v>82.704227835556821</v>
      </c>
      <c r="H319" s="1">
        <f t="shared" si="16"/>
        <v>72.21635040000001</v>
      </c>
      <c r="I319" s="2">
        <f t="shared" si="19"/>
        <v>10.487877435556811</v>
      </c>
      <c r="J319">
        <f t="shared" si="17"/>
        <v>319</v>
      </c>
    </row>
    <row r="320" spans="2:10" x14ac:dyDescent="0.35">
      <c r="B320">
        <v>320</v>
      </c>
      <c r="C320">
        <v>394.63912959461402</v>
      </c>
      <c r="D320">
        <v>7.4301820000000003</v>
      </c>
      <c r="E320">
        <v>572.96349759461395</v>
      </c>
      <c r="F320">
        <v>382.19642013361477</v>
      </c>
      <c r="G320" s="1">
        <f t="shared" si="18"/>
        <v>190.76707746099919</v>
      </c>
      <c r="H320" s="1">
        <f t="shared" si="16"/>
        <v>178.32436799999999</v>
      </c>
      <c r="I320" s="2">
        <f t="shared" si="19"/>
        <v>12.442709460999197</v>
      </c>
      <c r="J320">
        <f t="shared" si="17"/>
        <v>320</v>
      </c>
    </row>
    <row r="321" spans="2:10" x14ac:dyDescent="0.35">
      <c r="B321">
        <v>321</v>
      </c>
      <c r="C321">
        <v>396.05576214010432</v>
      </c>
      <c r="D321">
        <v>5.3255733999999997</v>
      </c>
      <c r="E321">
        <v>523.86952374010434</v>
      </c>
      <c r="F321">
        <v>386.90045118256154</v>
      </c>
      <c r="G321" s="1">
        <f t="shared" si="18"/>
        <v>136.9690725575428</v>
      </c>
      <c r="H321" s="1">
        <f t="shared" si="16"/>
        <v>127.81376159999999</v>
      </c>
      <c r="I321" s="2">
        <f t="shared" si="19"/>
        <v>9.1553109575428095</v>
      </c>
      <c r="J321">
        <f t="shared" si="17"/>
        <v>321</v>
      </c>
    </row>
    <row r="322" spans="2:10" x14ac:dyDescent="0.35">
      <c r="B322">
        <v>322</v>
      </c>
      <c r="C322">
        <v>397.46193785109421</v>
      </c>
      <c r="D322">
        <v>1.6827908000000003</v>
      </c>
      <c r="E322">
        <v>437.84891705109419</v>
      </c>
      <c r="F322">
        <v>390.45271372793985</v>
      </c>
      <c r="G322" s="1">
        <f t="shared" si="18"/>
        <v>47.396203323154339</v>
      </c>
      <c r="H322" s="1">
        <f t="shared" ref="H322:H385" si="20">D322*24</f>
        <v>40.386979200000006</v>
      </c>
      <c r="I322" s="2">
        <f t="shared" si="19"/>
        <v>7.0092241231543326</v>
      </c>
      <c r="J322">
        <f t="shared" ref="J322:J385" si="21">B322</f>
        <v>322</v>
      </c>
    </row>
    <row r="323" spans="2:10" x14ac:dyDescent="0.35">
      <c r="B323">
        <v>323</v>
      </c>
      <c r="C323">
        <v>399.35155917973486</v>
      </c>
      <c r="D323">
        <v>3.9462031999999994</v>
      </c>
      <c r="E323">
        <v>494.06043597973485</v>
      </c>
      <c r="F323">
        <v>390.90163378884967</v>
      </c>
      <c r="G323" s="1">
        <f t="shared" ref="G323:G386" si="22">E323-F323</f>
        <v>103.15880219088518</v>
      </c>
      <c r="H323" s="1">
        <f t="shared" si="20"/>
        <v>94.708876799999985</v>
      </c>
      <c r="I323" s="2">
        <f t="shared" ref="I323:I386" si="23">G323-H323</f>
        <v>8.4499253908851983</v>
      </c>
      <c r="J323">
        <f t="shared" si="21"/>
        <v>323</v>
      </c>
    </row>
    <row r="324" spans="2:10" x14ac:dyDescent="0.35">
      <c r="B324">
        <v>324</v>
      </c>
      <c r="C324">
        <v>400.41096817222672</v>
      </c>
      <c r="D324">
        <v>2.2314333999999998</v>
      </c>
      <c r="E324">
        <v>453.96536977222672</v>
      </c>
      <c r="F324">
        <v>392.17680731809446</v>
      </c>
      <c r="G324" s="1">
        <f t="shared" si="22"/>
        <v>61.788562454132261</v>
      </c>
      <c r="H324" s="1">
        <f t="shared" si="20"/>
        <v>53.554401599999991</v>
      </c>
      <c r="I324" s="2">
        <f t="shared" si="23"/>
        <v>8.2341608541322699</v>
      </c>
      <c r="J324">
        <f t="shared" si="21"/>
        <v>324</v>
      </c>
    </row>
    <row r="325" spans="2:10" x14ac:dyDescent="0.35">
      <c r="B325">
        <v>325</v>
      </c>
      <c r="C325">
        <v>402.43834834598294</v>
      </c>
      <c r="D325">
        <v>2.9806789999999999</v>
      </c>
      <c r="E325">
        <v>473.97464434598294</v>
      </c>
      <c r="F325">
        <v>394.63912959461402</v>
      </c>
      <c r="G325" s="1">
        <f t="shared" si="22"/>
        <v>79.335514751368919</v>
      </c>
      <c r="H325" s="1">
        <f t="shared" si="20"/>
        <v>71.536295999999993</v>
      </c>
      <c r="I325" s="2">
        <f t="shared" si="23"/>
        <v>7.799218751368926</v>
      </c>
      <c r="J325">
        <f t="shared" si="21"/>
        <v>325</v>
      </c>
    </row>
    <row r="326" spans="2:10" x14ac:dyDescent="0.35">
      <c r="B326">
        <v>326</v>
      </c>
      <c r="C326">
        <v>402.45897339087639</v>
      </c>
      <c r="D326">
        <v>3.7512159999999994</v>
      </c>
      <c r="E326">
        <v>492.48815739087638</v>
      </c>
      <c r="F326">
        <v>396.05576214010432</v>
      </c>
      <c r="G326" s="1">
        <f t="shared" si="22"/>
        <v>96.432395250772061</v>
      </c>
      <c r="H326" s="1">
        <f t="shared" si="20"/>
        <v>90.029183999999987</v>
      </c>
      <c r="I326" s="2">
        <f t="shared" si="23"/>
        <v>6.403211250772074</v>
      </c>
      <c r="J326">
        <f t="shared" si="21"/>
        <v>326</v>
      </c>
    </row>
    <row r="327" spans="2:10" x14ac:dyDescent="0.35">
      <c r="B327">
        <v>327</v>
      </c>
      <c r="C327">
        <v>403.58510537147134</v>
      </c>
      <c r="D327">
        <v>5.2622799999999996</v>
      </c>
      <c r="E327">
        <v>529.87982537147138</v>
      </c>
      <c r="F327">
        <v>397.46193785109421</v>
      </c>
      <c r="G327" s="1">
        <f t="shared" si="22"/>
        <v>132.41788752037718</v>
      </c>
      <c r="H327" s="1">
        <f t="shared" si="20"/>
        <v>126.29471999999998</v>
      </c>
      <c r="I327" s="2">
        <f t="shared" si="23"/>
        <v>6.1231675203771943</v>
      </c>
      <c r="J327">
        <f t="shared" si="21"/>
        <v>327</v>
      </c>
    </row>
    <row r="328" spans="2:10" x14ac:dyDescent="0.35">
      <c r="B328">
        <v>328</v>
      </c>
      <c r="C328">
        <v>404.26600704421207</v>
      </c>
      <c r="D328">
        <v>3.8767871999999999</v>
      </c>
      <c r="E328">
        <v>497.30889984421208</v>
      </c>
      <c r="F328">
        <v>399.35155917973486</v>
      </c>
      <c r="G328" s="1">
        <f t="shared" si="22"/>
        <v>97.957340664477215</v>
      </c>
      <c r="H328" s="1">
        <f t="shared" si="20"/>
        <v>93.042892800000004</v>
      </c>
      <c r="I328" s="2">
        <f t="shared" si="23"/>
        <v>4.9144478644772107</v>
      </c>
      <c r="J328">
        <f t="shared" si="21"/>
        <v>328</v>
      </c>
    </row>
    <row r="329" spans="2:10" x14ac:dyDescent="0.35">
      <c r="B329">
        <v>329</v>
      </c>
      <c r="C329">
        <v>404.38410604152375</v>
      </c>
      <c r="D329">
        <v>4.5170690000000002</v>
      </c>
      <c r="E329">
        <v>512.79376204152379</v>
      </c>
      <c r="F329">
        <v>400.41096817222672</v>
      </c>
      <c r="G329" s="1">
        <f t="shared" si="22"/>
        <v>112.38279386929707</v>
      </c>
      <c r="H329" s="1">
        <f t="shared" si="20"/>
        <v>108.40965600000001</v>
      </c>
      <c r="I329" s="2">
        <f t="shared" si="23"/>
        <v>3.9731378692970623</v>
      </c>
      <c r="J329">
        <f t="shared" si="21"/>
        <v>329</v>
      </c>
    </row>
    <row r="330" spans="2:10" x14ac:dyDescent="0.35">
      <c r="B330">
        <v>330</v>
      </c>
      <c r="C330">
        <v>407.49242978613808</v>
      </c>
      <c r="D330">
        <v>5.8884129999999999</v>
      </c>
      <c r="E330">
        <v>548.81434178613813</v>
      </c>
      <c r="F330">
        <v>402.43834834598294</v>
      </c>
      <c r="G330" s="1">
        <f t="shared" si="22"/>
        <v>146.37599344015518</v>
      </c>
      <c r="H330" s="1">
        <f t="shared" si="20"/>
        <v>141.321912</v>
      </c>
      <c r="I330" s="2">
        <f t="shared" si="23"/>
        <v>5.054081440155187</v>
      </c>
      <c r="J330">
        <f t="shared" si="21"/>
        <v>330</v>
      </c>
    </row>
    <row r="331" spans="2:10" x14ac:dyDescent="0.35">
      <c r="B331">
        <v>331</v>
      </c>
      <c r="C331">
        <v>409.10611982322854</v>
      </c>
      <c r="D331">
        <v>4.6687060000000002</v>
      </c>
      <c r="E331">
        <v>521.15506382322849</v>
      </c>
      <c r="F331">
        <v>402.45897339087639</v>
      </c>
      <c r="G331" s="1">
        <f t="shared" si="22"/>
        <v>118.69609043235209</v>
      </c>
      <c r="H331" s="1">
        <f t="shared" si="20"/>
        <v>112.04894400000001</v>
      </c>
      <c r="I331" s="2">
        <f t="shared" si="23"/>
        <v>6.6471464323520877</v>
      </c>
      <c r="J331">
        <f t="shared" si="21"/>
        <v>331</v>
      </c>
    </row>
    <row r="332" spans="2:10" x14ac:dyDescent="0.35">
      <c r="B332">
        <v>332</v>
      </c>
      <c r="C332">
        <v>409.33775315518085</v>
      </c>
      <c r="D332">
        <v>3.3367065999999994</v>
      </c>
      <c r="E332">
        <v>489.41871155518083</v>
      </c>
      <c r="F332">
        <v>403.58510537147134</v>
      </c>
      <c r="G332" s="1">
        <f t="shared" si="22"/>
        <v>85.833606183709492</v>
      </c>
      <c r="H332" s="1">
        <f t="shared" si="20"/>
        <v>80.080958399999986</v>
      </c>
      <c r="I332" s="2">
        <f t="shared" si="23"/>
        <v>5.7526477837095058</v>
      </c>
      <c r="J332">
        <f t="shared" si="21"/>
        <v>332</v>
      </c>
    </row>
    <row r="333" spans="2:10" x14ac:dyDescent="0.35">
      <c r="B333">
        <v>333</v>
      </c>
      <c r="C333">
        <v>409.87134451648922</v>
      </c>
      <c r="D333">
        <v>1.9773810000000003</v>
      </c>
      <c r="E333">
        <v>457.32848851648924</v>
      </c>
      <c r="F333">
        <v>404.26600704421207</v>
      </c>
      <c r="G333" s="1">
        <f t="shared" si="22"/>
        <v>53.06248147227717</v>
      </c>
      <c r="H333" s="1">
        <f t="shared" si="20"/>
        <v>47.457144000000007</v>
      </c>
      <c r="I333" s="2">
        <f t="shared" si="23"/>
        <v>5.6053374722771636</v>
      </c>
      <c r="J333">
        <f t="shared" si="21"/>
        <v>333</v>
      </c>
    </row>
    <row r="334" spans="2:10" x14ac:dyDescent="0.35">
      <c r="B334">
        <v>334</v>
      </c>
      <c r="C334">
        <v>410.28310853631882</v>
      </c>
      <c r="D334">
        <v>2.8156151999999999</v>
      </c>
      <c r="E334">
        <v>477.85787333631879</v>
      </c>
      <c r="F334">
        <v>404.38410604152375</v>
      </c>
      <c r="G334" s="1">
        <f t="shared" si="22"/>
        <v>73.473767294795039</v>
      </c>
      <c r="H334" s="1">
        <f t="shared" si="20"/>
        <v>67.574764799999997</v>
      </c>
      <c r="I334" s="2">
        <f t="shared" si="23"/>
        <v>5.8990024947950417</v>
      </c>
      <c r="J334">
        <f t="shared" si="21"/>
        <v>334</v>
      </c>
    </row>
    <row r="335" spans="2:10" x14ac:dyDescent="0.35">
      <c r="B335">
        <v>335</v>
      </c>
      <c r="C335">
        <v>410.28529560080403</v>
      </c>
      <c r="D335">
        <v>4.0719510000000003</v>
      </c>
      <c r="E335">
        <v>508.01211960080406</v>
      </c>
      <c r="F335">
        <v>407.49242978613808</v>
      </c>
      <c r="G335" s="1">
        <f t="shared" si="22"/>
        <v>100.51968981466598</v>
      </c>
      <c r="H335" s="1">
        <f t="shared" si="20"/>
        <v>97.726824000000008</v>
      </c>
      <c r="I335" s="2">
        <f t="shared" si="23"/>
        <v>2.7928658146659728</v>
      </c>
      <c r="J335">
        <f t="shared" si="21"/>
        <v>335</v>
      </c>
    </row>
    <row r="336" spans="2:10" x14ac:dyDescent="0.35">
      <c r="B336">
        <v>336</v>
      </c>
      <c r="C336">
        <v>410.34880522804303</v>
      </c>
      <c r="D336">
        <v>4.259131</v>
      </c>
      <c r="E336">
        <v>512.56794922804306</v>
      </c>
      <c r="F336">
        <v>409.10611982322854</v>
      </c>
      <c r="G336" s="1">
        <f t="shared" si="22"/>
        <v>103.46182940481452</v>
      </c>
      <c r="H336" s="1">
        <f t="shared" si="20"/>
        <v>102.219144</v>
      </c>
      <c r="I336" s="2">
        <f t="shared" si="23"/>
        <v>1.2426854048145231</v>
      </c>
      <c r="J336">
        <f t="shared" si="21"/>
        <v>336</v>
      </c>
    </row>
    <row r="337" spans="2:10" x14ac:dyDescent="0.35">
      <c r="B337">
        <v>337</v>
      </c>
      <c r="C337">
        <v>410.8219856264891</v>
      </c>
      <c r="D337">
        <v>1.9155338</v>
      </c>
      <c r="E337">
        <v>456.79479682648912</v>
      </c>
      <c r="F337">
        <v>409.33775315518085</v>
      </c>
      <c r="G337" s="1">
        <f t="shared" si="22"/>
        <v>47.45704367130827</v>
      </c>
      <c r="H337" s="1">
        <f t="shared" si="20"/>
        <v>45.972811199999995</v>
      </c>
      <c r="I337" s="2">
        <f t="shared" si="23"/>
        <v>1.4842324713082746</v>
      </c>
      <c r="J337">
        <f t="shared" si="21"/>
        <v>337</v>
      </c>
    </row>
    <row r="338" spans="2:10" x14ac:dyDescent="0.35">
      <c r="B338">
        <v>338</v>
      </c>
      <c r="C338">
        <v>414.36531048181052</v>
      </c>
      <c r="D338">
        <v>2.7399485000000001</v>
      </c>
      <c r="E338">
        <v>480.12407448181051</v>
      </c>
      <c r="F338">
        <v>409.87134451648922</v>
      </c>
      <c r="G338" s="1">
        <f t="shared" si="22"/>
        <v>70.252729965321294</v>
      </c>
      <c r="H338" s="1">
        <f t="shared" si="20"/>
        <v>65.758763999999999</v>
      </c>
      <c r="I338" s="2">
        <f t="shared" si="23"/>
        <v>4.4939659653212942</v>
      </c>
      <c r="J338">
        <f t="shared" si="21"/>
        <v>338</v>
      </c>
    </row>
    <row r="339" spans="2:10" x14ac:dyDescent="0.35">
      <c r="B339">
        <v>339</v>
      </c>
      <c r="C339">
        <v>416.73656678564555</v>
      </c>
      <c r="D339">
        <v>4.5875459999999997</v>
      </c>
      <c r="E339">
        <v>526.83767078564551</v>
      </c>
      <c r="F339">
        <v>410.28310853631882</v>
      </c>
      <c r="G339" s="1">
        <f t="shared" si="22"/>
        <v>116.55456224932669</v>
      </c>
      <c r="H339" s="1">
        <f t="shared" si="20"/>
        <v>110.10110399999999</v>
      </c>
      <c r="I339" s="2">
        <f t="shared" si="23"/>
        <v>6.453458249326701</v>
      </c>
      <c r="J339">
        <f t="shared" si="21"/>
        <v>339</v>
      </c>
    </row>
    <row r="340" spans="2:10" x14ac:dyDescent="0.35">
      <c r="B340">
        <v>340</v>
      </c>
      <c r="C340">
        <v>417.12906913130843</v>
      </c>
      <c r="D340">
        <v>3.6603083999999999</v>
      </c>
      <c r="E340">
        <v>504.97647073130844</v>
      </c>
      <c r="F340">
        <v>410.28529560080403</v>
      </c>
      <c r="G340" s="1">
        <f t="shared" si="22"/>
        <v>94.691175130504405</v>
      </c>
      <c r="H340" s="1">
        <f t="shared" si="20"/>
        <v>87.847401599999998</v>
      </c>
      <c r="I340" s="2">
        <f t="shared" si="23"/>
        <v>6.8437735305044072</v>
      </c>
      <c r="J340">
        <f t="shared" si="21"/>
        <v>340</v>
      </c>
    </row>
    <row r="341" spans="2:10" x14ac:dyDescent="0.35">
      <c r="B341">
        <v>341</v>
      </c>
      <c r="C341">
        <v>417.9363274839169</v>
      </c>
      <c r="D341">
        <v>2.6378305000000002</v>
      </c>
      <c r="E341">
        <v>481.24425948391689</v>
      </c>
      <c r="F341">
        <v>410.34880522804303</v>
      </c>
      <c r="G341" s="1">
        <f t="shared" si="22"/>
        <v>70.895454255873858</v>
      </c>
      <c r="H341" s="1">
        <f t="shared" si="20"/>
        <v>63.307932000000008</v>
      </c>
      <c r="I341" s="2">
        <f t="shared" si="23"/>
        <v>7.58752225587385</v>
      </c>
      <c r="J341">
        <f t="shared" si="21"/>
        <v>341</v>
      </c>
    </row>
    <row r="342" spans="2:10" x14ac:dyDescent="0.35">
      <c r="B342">
        <v>342</v>
      </c>
      <c r="C342">
        <v>418.1304615639184</v>
      </c>
      <c r="D342">
        <v>1.9262942000000001</v>
      </c>
      <c r="E342">
        <v>464.36152236391843</v>
      </c>
      <c r="F342">
        <v>410.8219856264891</v>
      </c>
      <c r="G342" s="1">
        <f t="shared" si="22"/>
        <v>53.53953673742933</v>
      </c>
      <c r="H342" s="1">
        <f t="shared" si="20"/>
        <v>46.231060800000002</v>
      </c>
      <c r="I342" s="2">
        <f t="shared" si="23"/>
        <v>7.3084759374293284</v>
      </c>
      <c r="J342">
        <f t="shared" si="21"/>
        <v>342</v>
      </c>
    </row>
    <row r="343" spans="2:10" x14ac:dyDescent="0.35">
      <c r="B343">
        <v>343</v>
      </c>
      <c r="C343">
        <v>420.43247490474636</v>
      </c>
      <c r="D343">
        <v>1.8720654000000003</v>
      </c>
      <c r="E343">
        <v>465.36204450474634</v>
      </c>
      <c r="F343">
        <v>414.36531048181052</v>
      </c>
      <c r="G343" s="1">
        <f t="shared" si="22"/>
        <v>50.996734022935811</v>
      </c>
      <c r="H343" s="1">
        <f t="shared" si="20"/>
        <v>44.929569600000008</v>
      </c>
      <c r="I343" s="2">
        <f t="shared" si="23"/>
        <v>6.0671644229358037</v>
      </c>
      <c r="J343">
        <f t="shared" si="21"/>
        <v>343</v>
      </c>
    </row>
    <row r="344" spans="2:10" x14ac:dyDescent="0.35">
      <c r="B344">
        <v>344</v>
      </c>
      <c r="C344">
        <v>421.32635028967388</v>
      </c>
      <c r="D344">
        <v>1.0000684</v>
      </c>
      <c r="E344">
        <v>445.32799188967385</v>
      </c>
      <c r="F344">
        <v>416.73656678564555</v>
      </c>
      <c r="G344" s="1">
        <f t="shared" si="22"/>
        <v>28.591425104028303</v>
      </c>
      <c r="H344" s="1">
        <f t="shared" si="20"/>
        <v>24.001641599999999</v>
      </c>
      <c r="I344" s="2">
        <f t="shared" si="23"/>
        <v>4.5897835040283042</v>
      </c>
      <c r="J344">
        <f t="shared" si="21"/>
        <v>344</v>
      </c>
    </row>
    <row r="345" spans="2:10" x14ac:dyDescent="0.35">
      <c r="B345">
        <v>345</v>
      </c>
      <c r="C345">
        <v>421.8668862592254</v>
      </c>
      <c r="D345">
        <v>3.477055</v>
      </c>
      <c r="E345">
        <v>505.3162062592254</v>
      </c>
      <c r="F345">
        <v>417.12906913130843</v>
      </c>
      <c r="G345" s="1">
        <f t="shared" si="22"/>
        <v>88.187137127916969</v>
      </c>
      <c r="H345" s="1">
        <f t="shared" si="20"/>
        <v>83.44932</v>
      </c>
      <c r="I345" s="2">
        <f t="shared" si="23"/>
        <v>4.7378171279169692</v>
      </c>
      <c r="J345">
        <f t="shared" si="21"/>
        <v>345</v>
      </c>
    </row>
    <row r="346" spans="2:10" x14ac:dyDescent="0.35">
      <c r="B346">
        <v>346</v>
      </c>
      <c r="C346">
        <v>422.72390877643534</v>
      </c>
      <c r="D346">
        <v>1.0527962</v>
      </c>
      <c r="E346">
        <v>447.99101757643535</v>
      </c>
      <c r="F346">
        <v>417.9363274839169</v>
      </c>
      <c r="G346" s="1">
        <f t="shared" si="22"/>
        <v>30.054690092518456</v>
      </c>
      <c r="H346" s="1">
        <f t="shared" si="20"/>
        <v>25.267108799999999</v>
      </c>
      <c r="I346" s="2">
        <f t="shared" si="23"/>
        <v>4.7875812925184569</v>
      </c>
      <c r="J346">
        <f t="shared" si="21"/>
        <v>346</v>
      </c>
    </row>
    <row r="347" spans="2:10" x14ac:dyDescent="0.35">
      <c r="B347">
        <v>347</v>
      </c>
      <c r="C347">
        <v>425.10314476077201</v>
      </c>
      <c r="D347">
        <v>4.8481370000000004</v>
      </c>
      <c r="E347">
        <v>541.45843276077198</v>
      </c>
      <c r="F347">
        <v>418.1304615639184</v>
      </c>
      <c r="G347" s="1">
        <f t="shared" si="22"/>
        <v>123.32797119685358</v>
      </c>
      <c r="H347" s="1">
        <f t="shared" si="20"/>
        <v>116.355288</v>
      </c>
      <c r="I347" s="2">
        <f t="shared" si="23"/>
        <v>6.9726831968535805</v>
      </c>
      <c r="J347">
        <f t="shared" si="21"/>
        <v>347</v>
      </c>
    </row>
    <row r="348" spans="2:10" x14ac:dyDescent="0.35">
      <c r="B348">
        <v>348</v>
      </c>
      <c r="C348">
        <v>427.32954691110109</v>
      </c>
      <c r="D348">
        <v>3.9608072999999999</v>
      </c>
      <c r="E348">
        <v>522.38892211110112</v>
      </c>
      <c r="F348">
        <v>420.43247490474636</v>
      </c>
      <c r="G348" s="1">
        <f t="shared" si="22"/>
        <v>101.95644720635477</v>
      </c>
      <c r="H348" s="1">
        <f t="shared" si="20"/>
        <v>95.059375200000005</v>
      </c>
      <c r="I348" s="2">
        <f t="shared" si="23"/>
        <v>6.8970720063547617</v>
      </c>
      <c r="J348">
        <f t="shared" si="21"/>
        <v>348</v>
      </c>
    </row>
    <row r="349" spans="2:10" x14ac:dyDescent="0.35">
      <c r="B349">
        <v>349</v>
      </c>
      <c r="C349">
        <v>427.35100183033967</v>
      </c>
      <c r="D349">
        <v>2.1225733999999998</v>
      </c>
      <c r="E349">
        <v>478.29276343033968</v>
      </c>
      <c r="F349">
        <v>421.32635028967388</v>
      </c>
      <c r="G349" s="1">
        <f t="shared" si="22"/>
        <v>56.966413140665793</v>
      </c>
      <c r="H349" s="1">
        <f t="shared" si="20"/>
        <v>50.941761599999992</v>
      </c>
      <c r="I349" s="2">
        <f t="shared" si="23"/>
        <v>6.0246515406658006</v>
      </c>
      <c r="J349">
        <f t="shared" si="21"/>
        <v>349</v>
      </c>
    </row>
    <row r="350" spans="2:10" x14ac:dyDescent="0.35">
      <c r="B350">
        <v>350</v>
      </c>
      <c r="C350">
        <v>427.4971145278696</v>
      </c>
      <c r="D350">
        <v>4.0517386999999996</v>
      </c>
      <c r="E350">
        <v>524.73884332786952</v>
      </c>
      <c r="F350">
        <v>421.8668862592254</v>
      </c>
      <c r="G350" s="1">
        <f t="shared" si="22"/>
        <v>102.87195706864412</v>
      </c>
      <c r="H350" s="1">
        <f t="shared" si="20"/>
        <v>97.24172879999999</v>
      </c>
      <c r="I350" s="2">
        <f t="shared" si="23"/>
        <v>5.6302282686441316</v>
      </c>
      <c r="J350">
        <f t="shared" si="21"/>
        <v>350</v>
      </c>
    </row>
    <row r="351" spans="2:10" x14ac:dyDescent="0.35">
      <c r="B351">
        <v>351</v>
      </c>
      <c r="C351">
        <v>428.9451860353231</v>
      </c>
      <c r="D351">
        <v>1.6650242999999998</v>
      </c>
      <c r="E351">
        <v>468.90576923532308</v>
      </c>
      <c r="F351">
        <v>422.72390877643534</v>
      </c>
      <c r="G351" s="1">
        <f t="shared" si="22"/>
        <v>46.181860458887741</v>
      </c>
      <c r="H351" s="1">
        <f t="shared" si="20"/>
        <v>39.960583199999995</v>
      </c>
      <c r="I351" s="2">
        <f t="shared" si="23"/>
        <v>6.2212772588877456</v>
      </c>
      <c r="J351">
        <f t="shared" si="21"/>
        <v>351</v>
      </c>
    </row>
    <row r="352" spans="2:10" x14ac:dyDescent="0.35">
      <c r="B352">
        <v>352</v>
      </c>
      <c r="C352">
        <v>429.33737880888822</v>
      </c>
      <c r="D352">
        <v>3.4044704000000001</v>
      </c>
      <c r="E352">
        <v>511.04466840888824</v>
      </c>
      <c r="F352">
        <v>425.10314476077201</v>
      </c>
      <c r="G352" s="1">
        <f t="shared" si="22"/>
        <v>85.941523648116231</v>
      </c>
      <c r="H352" s="1">
        <f t="shared" si="20"/>
        <v>81.707289599999996</v>
      </c>
      <c r="I352" s="2">
        <f t="shared" si="23"/>
        <v>4.2342340481162353</v>
      </c>
      <c r="J352">
        <f t="shared" si="21"/>
        <v>352</v>
      </c>
    </row>
    <row r="353" spans="2:10" x14ac:dyDescent="0.35">
      <c r="B353">
        <v>353</v>
      </c>
      <c r="C353">
        <v>430.07042061230163</v>
      </c>
      <c r="D353">
        <v>3.3928094</v>
      </c>
      <c r="E353">
        <v>511.49784621230162</v>
      </c>
      <c r="F353">
        <v>427.32954691110109</v>
      </c>
      <c r="G353" s="1">
        <f t="shared" si="22"/>
        <v>84.168299301200534</v>
      </c>
      <c r="H353" s="1">
        <f t="shared" si="20"/>
        <v>81.427425599999992</v>
      </c>
      <c r="I353" s="2">
        <f t="shared" si="23"/>
        <v>2.7408737012005417</v>
      </c>
      <c r="J353">
        <f t="shared" si="21"/>
        <v>353</v>
      </c>
    </row>
    <row r="354" spans="2:10" x14ac:dyDescent="0.35">
      <c r="B354">
        <v>354</v>
      </c>
      <c r="C354">
        <v>431.86344391744757</v>
      </c>
      <c r="D354">
        <v>4.7282840000000004</v>
      </c>
      <c r="E354">
        <v>545.34225991744756</v>
      </c>
      <c r="F354">
        <v>427.35100183033967</v>
      </c>
      <c r="G354" s="1">
        <f t="shared" si="22"/>
        <v>117.99125808710789</v>
      </c>
      <c r="H354" s="1">
        <f t="shared" si="20"/>
        <v>113.47881600000001</v>
      </c>
      <c r="I354" s="2">
        <f t="shared" si="23"/>
        <v>4.5124420871078854</v>
      </c>
      <c r="J354">
        <f t="shared" si="21"/>
        <v>354</v>
      </c>
    </row>
    <row r="355" spans="2:10" x14ac:dyDescent="0.35">
      <c r="B355">
        <v>355</v>
      </c>
      <c r="C355">
        <v>433.18465626348865</v>
      </c>
      <c r="D355">
        <v>4.5807029999999997</v>
      </c>
      <c r="E355">
        <v>543.12152826348859</v>
      </c>
      <c r="F355">
        <v>427.4971145278696</v>
      </c>
      <c r="G355" s="1">
        <f t="shared" si="22"/>
        <v>115.62441373561899</v>
      </c>
      <c r="H355" s="1">
        <f t="shared" si="20"/>
        <v>109.93687199999999</v>
      </c>
      <c r="I355" s="2">
        <f t="shared" si="23"/>
        <v>5.6875417356189928</v>
      </c>
      <c r="J355">
        <f t="shared" si="21"/>
        <v>355</v>
      </c>
    </row>
    <row r="356" spans="2:10" x14ac:dyDescent="0.35">
      <c r="B356">
        <v>356</v>
      </c>
      <c r="C356">
        <v>434.37508770483845</v>
      </c>
      <c r="D356">
        <v>4.0824999999999996</v>
      </c>
      <c r="E356">
        <v>532.35508770483841</v>
      </c>
      <c r="F356">
        <v>428.9451860353231</v>
      </c>
      <c r="G356" s="1">
        <f t="shared" si="22"/>
        <v>103.40990166951531</v>
      </c>
      <c r="H356" s="1">
        <f t="shared" si="20"/>
        <v>97.97999999999999</v>
      </c>
      <c r="I356" s="2">
        <f t="shared" si="23"/>
        <v>5.4299016695153171</v>
      </c>
      <c r="J356">
        <f t="shared" si="21"/>
        <v>356</v>
      </c>
    </row>
    <row r="357" spans="2:10" x14ac:dyDescent="0.35">
      <c r="B357">
        <v>357</v>
      </c>
      <c r="C357">
        <v>437.84891705109419</v>
      </c>
      <c r="D357">
        <v>5.3663372999999996</v>
      </c>
      <c r="E357">
        <v>566.64101225109414</v>
      </c>
      <c r="F357">
        <v>429.33737880888822</v>
      </c>
      <c r="G357" s="1">
        <f t="shared" si="22"/>
        <v>137.30363344220592</v>
      </c>
      <c r="H357" s="1">
        <f t="shared" si="20"/>
        <v>128.79209520000001</v>
      </c>
      <c r="I357" s="2">
        <f t="shared" si="23"/>
        <v>8.5115382422059156</v>
      </c>
      <c r="J357">
        <f t="shared" si="21"/>
        <v>357</v>
      </c>
    </row>
    <row r="358" spans="2:10" x14ac:dyDescent="0.35">
      <c r="B358">
        <v>358</v>
      </c>
      <c r="C358">
        <v>438.20877099146719</v>
      </c>
      <c r="D358">
        <v>3.5794600000000001</v>
      </c>
      <c r="E358">
        <v>524.11581099146724</v>
      </c>
      <c r="F358">
        <v>430.07042061230163</v>
      </c>
      <c r="G358" s="1">
        <f t="shared" si="22"/>
        <v>94.04539037916561</v>
      </c>
      <c r="H358" s="1">
        <f t="shared" si="20"/>
        <v>85.907039999999995</v>
      </c>
      <c r="I358" s="2">
        <f t="shared" si="23"/>
        <v>8.1383503791656153</v>
      </c>
      <c r="J358">
        <f t="shared" si="21"/>
        <v>358</v>
      </c>
    </row>
    <row r="359" spans="2:10" x14ac:dyDescent="0.35">
      <c r="B359">
        <v>359</v>
      </c>
      <c r="C359">
        <v>439.28594838888557</v>
      </c>
      <c r="D359">
        <v>4.8957663</v>
      </c>
      <c r="E359">
        <v>556.78433958888559</v>
      </c>
      <c r="F359">
        <v>431.86344391744757</v>
      </c>
      <c r="G359" s="1">
        <f t="shared" si="22"/>
        <v>124.92089567143802</v>
      </c>
      <c r="H359" s="1">
        <f t="shared" si="20"/>
        <v>117.4983912</v>
      </c>
      <c r="I359" s="2">
        <f t="shared" si="23"/>
        <v>7.4225044714380175</v>
      </c>
      <c r="J359">
        <f t="shared" si="21"/>
        <v>359</v>
      </c>
    </row>
    <row r="360" spans="2:10" x14ac:dyDescent="0.35">
      <c r="B360">
        <v>360</v>
      </c>
      <c r="C360">
        <v>439.96482716694351</v>
      </c>
      <c r="D360">
        <v>2.0079012000000001</v>
      </c>
      <c r="E360">
        <v>488.15445596694349</v>
      </c>
      <c r="F360">
        <v>433.18465626348865</v>
      </c>
      <c r="G360" s="1">
        <f t="shared" si="22"/>
        <v>54.969799703454839</v>
      </c>
      <c r="H360" s="1">
        <f t="shared" si="20"/>
        <v>48.189628800000001</v>
      </c>
      <c r="I360" s="2">
        <f t="shared" si="23"/>
        <v>6.7801709034548381</v>
      </c>
      <c r="J360">
        <f t="shared" si="21"/>
        <v>360</v>
      </c>
    </row>
    <row r="361" spans="2:10" x14ac:dyDescent="0.35">
      <c r="B361">
        <v>361</v>
      </c>
      <c r="C361">
        <v>445.32799188967385</v>
      </c>
      <c r="D361">
        <v>4.8060840000000002</v>
      </c>
      <c r="E361">
        <v>560.67400788967382</v>
      </c>
      <c r="F361">
        <v>434.37508770483845</v>
      </c>
      <c r="G361" s="1">
        <f t="shared" si="22"/>
        <v>126.29892018483537</v>
      </c>
      <c r="H361" s="1">
        <f t="shared" si="20"/>
        <v>115.34601600000001</v>
      </c>
      <c r="I361" s="2">
        <f t="shared" si="23"/>
        <v>10.952904184835361</v>
      </c>
      <c r="J361">
        <f t="shared" si="21"/>
        <v>361</v>
      </c>
    </row>
    <row r="362" spans="2:10" x14ac:dyDescent="0.35">
      <c r="B362">
        <v>362</v>
      </c>
      <c r="C362">
        <v>445.68380758904158</v>
      </c>
      <c r="D362">
        <v>1.3751066999999999</v>
      </c>
      <c r="E362">
        <v>478.6863683890416</v>
      </c>
      <c r="F362">
        <v>437.84891705109419</v>
      </c>
      <c r="G362" s="1">
        <f t="shared" si="22"/>
        <v>40.837451337947414</v>
      </c>
      <c r="H362" s="1">
        <f t="shared" si="20"/>
        <v>33.002560799999998</v>
      </c>
      <c r="I362" s="2">
        <f t="shared" si="23"/>
        <v>7.8348905379474161</v>
      </c>
      <c r="J362">
        <f t="shared" si="21"/>
        <v>362</v>
      </c>
    </row>
    <row r="363" spans="2:10" x14ac:dyDescent="0.35">
      <c r="B363">
        <v>363</v>
      </c>
      <c r="C363">
        <v>445.75826577395208</v>
      </c>
      <c r="D363">
        <v>3.0872489999999999</v>
      </c>
      <c r="E363">
        <v>519.85224177395207</v>
      </c>
      <c r="F363">
        <v>438.20877099146719</v>
      </c>
      <c r="G363" s="1">
        <f t="shared" si="22"/>
        <v>81.643470782484883</v>
      </c>
      <c r="H363" s="1">
        <f t="shared" si="20"/>
        <v>74.093975999999998</v>
      </c>
      <c r="I363" s="2">
        <f t="shared" si="23"/>
        <v>7.549494782484885</v>
      </c>
      <c r="J363">
        <f t="shared" si="21"/>
        <v>363</v>
      </c>
    </row>
    <row r="364" spans="2:10" x14ac:dyDescent="0.35">
      <c r="B364">
        <v>364</v>
      </c>
      <c r="C364">
        <v>447.99101757643535</v>
      </c>
      <c r="D364">
        <v>4.7515460000000003</v>
      </c>
      <c r="E364">
        <v>562.02812157643541</v>
      </c>
      <c r="F364">
        <v>439.28594838888557</v>
      </c>
      <c r="G364" s="1">
        <f t="shared" si="22"/>
        <v>122.74217318754984</v>
      </c>
      <c r="H364" s="1">
        <f t="shared" si="20"/>
        <v>114.037104</v>
      </c>
      <c r="I364" s="2">
        <f t="shared" si="23"/>
        <v>8.7050691875498387</v>
      </c>
      <c r="J364">
        <f t="shared" si="21"/>
        <v>364</v>
      </c>
    </row>
    <row r="365" spans="2:10" x14ac:dyDescent="0.35">
      <c r="B365">
        <v>366</v>
      </c>
      <c r="C365">
        <v>451.53707559387897</v>
      </c>
      <c r="D365">
        <v>5.9437145999999998</v>
      </c>
      <c r="E365">
        <v>594.18622599387891</v>
      </c>
      <c r="F365">
        <v>445.32799188967385</v>
      </c>
      <c r="G365" s="1">
        <f t="shared" si="22"/>
        <v>148.85823410420505</v>
      </c>
      <c r="H365" s="1">
        <f t="shared" si="20"/>
        <v>142.6491504</v>
      </c>
      <c r="I365" s="2">
        <f t="shared" si="23"/>
        <v>6.2090837042050566</v>
      </c>
      <c r="J365">
        <f t="shared" si="21"/>
        <v>366</v>
      </c>
    </row>
    <row r="366" spans="2:10" x14ac:dyDescent="0.35">
      <c r="B366">
        <v>367</v>
      </c>
      <c r="C366">
        <v>453.96536977222672</v>
      </c>
      <c r="D366">
        <v>4.9698000000000002</v>
      </c>
      <c r="E366">
        <v>573.24056977222676</v>
      </c>
      <c r="F366">
        <v>445.68380758904158</v>
      </c>
      <c r="G366" s="1">
        <f t="shared" si="22"/>
        <v>127.55676218318519</v>
      </c>
      <c r="H366" s="1">
        <f t="shared" si="20"/>
        <v>119.27520000000001</v>
      </c>
      <c r="I366" s="2">
        <f t="shared" si="23"/>
        <v>8.2815621831851729</v>
      </c>
      <c r="J366">
        <f t="shared" si="21"/>
        <v>367</v>
      </c>
    </row>
    <row r="367" spans="2:10" x14ac:dyDescent="0.35">
      <c r="B367">
        <v>368</v>
      </c>
      <c r="C367">
        <v>455.44372721404818</v>
      </c>
      <c r="D367">
        <v>4.6263657</v>
      </c>
      <c r="E367">
        <v>566.47650401404815</v>
      </c>
      <c r="F367">
        <v>445.75826577395208</v>
      </c>
      <c r="G367" s="1">
        <f t="shared" si="22"/>
        <v>120.71823824009607</v>
      </c>
      <c r="H367" s="1">
        <f t="shared" si="20"/>
        <v>111.03277679999999</v>
      </c>
      <c r="I367" s="2">
        <f t="shared" si="23"/>
        <v>9.685461440096077</v>
      </c>
      <c r="J367">
        <f t="shared" si="21"/>
        <v>368</v>
      </c>
    </row>
    <row r="368" spans="2:10" x14ac:dyDescent="0.35">
      <c r="B368">
        <v>372</v>
      </c>
      <c r="C368">
        <v>457.48110701046721</v>
      </c>
      <c r="D368">
        <v>3.5083734999999994</v>
      </c>
      <c r="E368">
        <v>541.68207101046721</v>
      </c>
      <c r="F368">
        <v>453.96536977222672</v>
      </c>
      <c r="G368" s="1">
        <f t="shared" si="22"/>
        <v>87.716701238240489</v>
      </c>
      <c r="H368" s="1">
        <f t="shared" si="20"/>
        <v>84.200963999999985</v>
      </c>
      <c r="I368" s="2">
        <f t="shared" si="23"/>
        <v>3.5157372382405043</v>
      </c>
      <c r="J368">
        <f t="shared" si="21"/>
        <v>372</v>
      </c>
    </row>
    <row r="369" spans="2:10" x14ac:dyDescent="0.35">
      <c r="B369">
        <v>373</v>
      </c>
      <c r="C369">
        <v>463.6606007949901</v>
      </c>
      <c r="D369">
        <v>0.95750844000000002</v>
      </c>
      <c r="E369">
        <v>486.64080335499011</v>
      </c>
      <c r="F369">
        <v>455.44372721404818</v>
      </c>
      <c r="G369" s="1">
        <f t="shared" si="22"/>
        <v>31.197076140941931</v>
      </c>
      <c r="H369" s="1">
        <f t="shared" si="20"/>
        <v>22.980202560000002</v>
      </c>
      <c r="I369" s="2">
        <f t="shared" si="23"/>
        <v>8.2168735809419289</v>
      </c>
      <c r="J369">
        <f t="shared" si="21"/>
        <v>373</v>
      </c>
    </row>
    <row r="370" spans="2:10" x14ac:dyDescent="0.35">
      <c r="B370">
        <v>375</v>
      </c>
      <c r="C370">
        <v>464.39315771809447</v>
      </c>
      <c r="D370">
        <v>3.8307693</v>
      </c>
      <c r="E370">
        <v>556.33162091809447</v>
      </c>
      <c r="F370">
        <v>456.93727670009503</v>
      </c>
      <c r="G370" s="1">
        <f t="shared" si="22"/>
        <v>99.394344217999446</v>
      </c>
      <c r="H370" s="1">
        <f t="shared" si="20"/>
        <v>91.938463200000001</v>
      </c>
      <c r="I370" s="2">
        <f t="shared" si="23"/>
        <v>7.4558810179994452</v>
      </c>
      <c r="J370">
        <f t="shared" si="21"/>
        <v>375</v>
      </c>
    </row>
    <row r="371" spans="2:10" x14ac:dyDescent="0.35">
      <c r="B371">
        <v>376</v>
      </c>
      <c r="C371">
        <v>464.83078120951984</v>
      </c>
      <c r="D371">
        <v>4.0276474999999996</v>
      </c>
      <c r="E371">
        <v>561.49432120951985</v>
      </c>
      <c r="F371">
        <v>457.32848851648924</v>
      </c>
      <c r="G371" s="1">
        <f t="shared" si="22"/>
        <v>104.16583269303061</v>
      </c>
      <c r="H371" s="1">
        <f t="shared" si="20"/>
        <v>96.663539999999983</v>
      </c>
      <c r="I371" s="2">
        <f t="shared" si="23"/>
        <v>7.5022926930306255</v>
      </c>
      <c r="J371">
        <f t="shared" si="21"/>
        <v>376</v>
      </c>
    </row>
    <row r="372" spans="2:10" x14ac:dyDescent="0.35">
      <c r="B372">
        <v>377</v>
      </c>
      <c r="C372">
        <v>465.36204450474634</v>
      </c>
      <c r="D372">
        <v>3.6546698000000006</v>
      </c>
      <c r="E372">
        <v>553.07411970474641</v>
      </c>
      <c r="F372">
        <v>457.48110701046721</v>
      </c>
      <c r="G372" s="1">
        <f t="shared" si="22"/>
        <v>95.593012694279196</v>
      </c>
      <c r="H372" s="1">
        <f t="shared" si="20"/>
        <v>87.712075200000015</v>
      </c>
      <c r="I372" s="2">
        <f t="shared" si="23"/>
        <v>7.8809374942791806</v>
      </c>
      <c r="J372">
        <f t="shared" si="21"/>
        <v>377</v>
      </c>
    </row>
    <row r="373" spans="2:10" x14ac:dyDescent="0.35">
      <c r="B373">
        <v>378</v>
      </c>
      <c r="C373">
        <v>468.90576923532308</v>
      </c>
      <c r="D373">
        <v>5.4081903000000002</v>
      </c>
      <c r="E373">
        <v>598.7023364353231</v>
      </c>
      <c r="F373">
        <v>463.6606007949901</v>
      </c>
      <c r="G373" s="1">
        <f t="shared" si="22"/>
        <v>135.041735640333</v>
      </c>
      <c r="H373" s="1">
        <f t="shared" si="20"/>
        <v>129.7965672</v>
      </c>
      <c r="I373" s="2">
        <f t="shared" si="23"/>
        <v>5.2451684403330034</v>
      </c>
      <c r="J373">
        <f t="shared" si="21"/>
        <v>378</v>
      </c>
    </row>
    <row r="374" spans="2:10" x14ac:dyDescent="0.35">
      <c r="B374">
        <v>379</v>
      </c>
      <c r="C374">
        <v>469.10611412972628</v>
      </c>
      <c r="D374">
        <v>4.793005</v>
      </c>
      <c r="E374">
        <v>584.13823412972624</v>
      </c>
      <c r="F374">
        <v>464.36152236391843</v>
      </c>
      <c r="G374" s="1">
        <f t="shared" si="22"/>
        <v>119.77671176580782</v>
      </c>
      <c r="H374" s="1">
        <f t="shared" si="20"/>
        <v>115.03211999999999</v>
      </c>
      <c r="I374" s="2">
        <f t="shared" si="23"/>
        <v>4.7445917658078258</v>
      </c>
      <c r="J374">
        <f t="shared" si="21"/>
        <v>379</v>
      </c>
    </row>
    <row r="375" spans="2:10" x14ac:dyDescent="0.35">
      <c r="B375">
        <v>380</v>
      </c>
      <c r="C375">
        <v>469.32744060073071</v>
      </c>
      <c r="D375">
        <v>2.4235631999999998</v>
      </c>
      <c r="E375">
        <v>527.49295740073069</v>
      </c>
      <c r="F375">
        <v>464.39315771809447</v>
      </c>
      <c r="G375" s="1">
        <f t="shared" si="22"/>
        <v>63.099799682636217</v>
      </c>
      <c r="H375" s="1">
        <f t="shared" si="20"/>
        <v>58.165516799999992</v>
      </c>
      <c r="I375" s="2">
        <f t="shared" si="23"/>
        <v>4.9342828826362251</v>
      </c>
      <c r="J375">
        <f t="shared" si="21"/>
        <v>380</v>
      </c>
    </row>
    <row r="376" spans="2:10" x14ac:dyDescent="0.35">
      <c r="B376">
        <v>381</v>
      </c>
      <c r="C376">
        <v>469.72541118256152</v>
      </c>
      <c r="D376">
        <v>3.7394959999999999</v>
      </c>
      <c r="E376">
        <v>559.47331518256146</v>
      </c>
      <c r="F376">
        <v>464.83078120951984</v>
      </c>
      <c r="G376" s="1">
        <f t="shared" si="22"/>
        <v>94.642533973041623</v>
      </c>
      <c r="H376" s="1">
        <f t="shared" si="20"/>
        <v>89.747904000000005</v>
      </c>
      <c r="I376" s="2">
        <f t="shared" si="23"/>
        <v>4.8946299730416172</v>
      </c>
      <c r="J376">
        <f t="shared" si="21"/>
        <v>381</v>
      </c>
    </row>
    <row r="377" spans="2:10" x14ac:dyDescent="0.35">
      <c r="B377">
        <v>382</v>
      </c>
      <c r="C377">
        <v>472.39048176982186</v>
      </c>
      <c r="D377">
        <v>5.2490152999999999</v>
      </c>
      <c r="E377">
        <v>598.36684896982183</v>
      </c>
      <c r="F377">
        <v>465.36204450474634</v>
      </c>
      <c r="G377" s="1">
        <f t="shared" si="22"/>
        <v>133.00480446507549</v>
      </c>
      <c r="H377" s="1">
        <f t="shared" si="20"/>
        <v>125.9763672</v>
      </c>
      <c r="I377" s="2">
        <f t="shared" si="23"/>
        <v>7.028437265075496</v>
      </c>
      <c r="J377">
        <f t="shared" si="21"/>
        <v>382</v>
      </c>
    </row>
    <row r="378" spans="2:10" x14ac:dyDescent="0.35">
      <c r="B378">
        <v>383</v>
      </c>
      <c r="C378">
        <v>472.60497171494222</v>
      </c>
      <c r="D378">
        <v>5.2984103999999999</v>
      </c>
      <c r="E378">
        <v>599.76682131494226</v>
      </c>
      <c r="F378">
        <v>468.90576923532308</v>
      </c>
      <c r="G378" s="1">
        <f t="shared" si="22"/>
        <v>130.86105207961918</v>
      </c>
      <c r="H378" s="1">
        <f t="shared" si="20"/>
        <v>127.1618496</v>
      </c>
      <c r="I378" s="2">
        <f t="shared" si="23"/>
        <v>3.6992024796191885</v>
      </c>
      <c r="J378">
        <f t="shared" si="21"/>
        <v>383</v>
      </c>
    </row>
    <row r="379" spans="2:10" x14ac:dyDescent="0.35">
      <c r="B379">
        <v>387</v>
      </c>
      <c r="C379">
        <v>478.29276343033968</v>
      </c>
      <c r="D379">
        <v>1.0356926</v>
      </c>
      <c r="E379">
        <v>503.14938583033967</v>
      </c>
      <c r="F379">
        <v>472.39048176982186</v>
      </c>
      <c r="G379" s="1">
        <f t="shared" si="22"/>
        <v>30.758904060517807</v>
      </c>
      <c r="H379" s="1">
        <f t="shared" si="20"/>
        <v>24.856622399999999</v>
      </c>
      <c r="I379" s="2">
        <f t="shared" si="23"/>
        <v>5.9022816605178079</v>
      </c>
      <c r="J379">
        <f t="shared" si="21"/>
        <v>387</v>
      </c>
    </row>
    <row r="380" spans="2:10" x14ac:dyDescent="0.35">
      <c r="B380">
        <v>388</v>
      </c>
      <c r="C380">
        <v>478.6863683890416</v>
      </c>
      <c r="D380">
        <v>4.5838049999999999</v>
      </c>
      <c r="E380">
        <v>588.69768838904156</v>
      </c>
      <c r="F380">
        <v>472.60497171494222</v>
      </c>
      <c r="G380" s="1">
        <f t="shared" si="22"/>
        <v>116.09271667409934</v>
      </c>
      <c r="H380" s="1">
        <f t="shared" si="20"/>
        <v>110.01132</v>
      </c>
      <c r="I380" s="2">
        <f t="shared" si="23"/>
        <v>6.0813966740993379</v>
      </c>
      <c r="J380">
        <f t="shared" si="21"/>
        <v>388</v>
      </c>
    </row>
    <row r="381" spans="2:10" x14ac:dyDescent="0.35">
      <c r="B381">
        <v>389</v>
      </c>
      <c r="C381">
        <v>480.12407448181051</v>
      </c>
      <c r="D381">
        <v>3.857748</v>
      </c>
      <c r="E381">
        <v>572.71002648181047</v>
      </c>
      <c r="F381">
        <v>473.97464434598294</v>
      </c>
      <c r="G381" s="1">
        <f t="shared" si="22"/>
        <v>98.735382135827535</v>
      </c>
      <c r="H381" s="1">
        <f t="shared" si="20"/>
        <v>92.585951999999992</v>
      </c>
      <c r="I381" s="2">
        <f t="shared" si="23"/>
        <v>6.1494301358275436</v>
      </c>
      <c r="J381">
        <f t="shared" si="21"/>
        <v>389</v>
      </c>
    </row>
    <row r="382" spans="2:10" x14ac:dyDescent="0.35">
      <c r="B382">
        <v>390</v>
      </c>
      <c r="C382">
        <v>481.24425948391689</v>
      </c>
      <c r="D382">
        <v>3.7820423000000005</v>
      </c>
      <c r="E382">
        <v>572.01327468391685</v>
      </c>
      <c r="F382">
        <v>475.74567462242635</v>
      </c>
      <c r="G382" s="1">
        <f t="shared" si="22"/>
        <v>96.267600061490498</v>
      </c>
      <c r="H382" s="1">
        <f t="shared" si="20"/>
        <v>90.769015200000013</v>
      </c>
      <c r="I382" s="2">
        <f t="shared" si="23"/>
        <v>5.4985848614904853</v>
      </c>
      <c r="J382">
        <f t="shared" si="21"/>
        <v>390</v>
      </c>
    </row>
    <row r="383" spans="2:10" x14ac:dyDescent="0.35">
      <c r="B383">
        <v>391</v>
      </c>
      <c r="C383">
        <v>481.68331874563694</v>
      </c>
      <c r="D383">
        <v>4.7361813000000001</v>
      </c>
      <c r="E383">
        <v>595.3516699456369</v>
      </c>
      <c r="F383">
        <v>477.85787333631879</v>
      </c>
      <c r="G383" s="1">
        <f t="shared" si="22"/>
        <v>117.49379660931811</v>
      </c>
      <c r="H383" s="1">
        <f t="shared" si="20"/>
        <v>113.6683512</v>
      </c>
      <c r="I383" s="2">
        <f t="shared" si="23"/>
        <v>3.8254454093181067</v>
      </c>
      <c r="J383">
        <f t="shared" si="21"/>
        <v>391</v>
      </c>
    </row>
    <row r="384" spans="2:10" x14ac:dyDescent="0.35">
      <c r="B384">
        <v>392</v>
      </c>
      <c r="C384">
        <v>483.40823804222862</v>
      </c>
      <c r="D384">
        <v>3.83725</v>
      </c>
      <c r="E384">
        <v>575.50223804222867</v>
      </c>
      <c r="F384">
        <v>478.29276343033968</v>
      </c>
      <c r="G384" s="1">
        <f t="shared" si="22"/>
        <v>97.209474611888993</v>
      </c>
      <c r="H384" s="1">
        <f t="shared" si="20"/>
        <v>92.093999999999994</v>
      </c>
      <c r="I384" s="2">
        <f t="shared" si="23"/>
        <v>5.1154746118889989</v>
      </c>
      <c r="J384">
        <f t="shared" si="21"/>
        <v>392</v>
      </c>
    </row>
    <row r="385" spans="2:10" x14ac:dyDescent="0.35">
      <c r="B385">
        <v>393</v>
      </c>
      <c r="C385">
        <v>486.64080335499011</v>
      </c>
      <c r="D385">
        <v>0.98535119999999998</v>
      </c>
      <c r="E385">
        <v>510.28923215499009</v>
      </c>
      <c r="F385">
        <v>478.6863683890416</v>
      </c>
      <c r="G385" s="1">
        <f t="shared" si="22"/>
        <v>31.602863765948484</v>
      </c>
      <c r="H385" s="1">
        <f t="shared" si="20"/>
        <v>23.648428799999998</v>
      </c>
      <c r="I385" s="2">
        <f t="shared" si="23"/>
        <v>7.9544349659484865</v>
      </c>
      <c r="J385">
        <f t="shared" si="21"/>
        <v>393</v>
      </c>
    </row>
    <row r="386" spans="2:10" x14ac:dyDescent="0.35">
      <c r="B386">
        <v>395</v>
      </c>
      <c r="C386">
        <v>488.15445596694349</v>
      </c>
      <c r="D386">
        <v>4.4745913000000002</v>
      </c>
      <c r="E386">
        <v>595.54464716694349</v>
      </c>
      <c r="F386">
        <v>481.24425948391689</v>
      </c>
      <c r="G386" s="1">
        <f t="shared" si="22"/>
        <v>114.3003876830266</v>
      </c>
      <c r="H386" s="1">
        <f t="shared" ref="H386:H404" si="24">D386*24</f>
        <v>107.3901912</v>
      </c>
      <c r="I386" s="2">
        <f t="shared" si="23"/>
        <v>6.9101964830265956</v>
      </c>
      <c r="J386">
        <f t="shared" ref="J386:J404" si="25">B386</f>
        <v>395</v>
      </c>
    </row>
    <row r="387" spans="2:10" x14ac:dyDescent="0.35">
      <c r="B387">
        <v>397</v>
      </c>
      <c r="C387">
        <v>490.12641213361474</v>
      </c>
      <c r="D387">
        <v>2.1044839999999998</v>
      </c>
      <c r="E387">
        <v>540.63402813361472</v>
      </c>
      <c r="F387">
        <v>483.40823804222862</v>
      </c>
      <c r="G387" s="1">
        <f t="shared" ref="G387:G404" si="26">E387-F387</f>
        <v>57.225790091386102</v>
      </c>
      <c r="H387" s="1">
        <f t="shared" si="24"/>
        <v>50.507615999999999</v>
      </c>
      <c r="I387" s="2">
        <f t="shared" ref="I387:I404" si="27">G387-H387</f>
        <v>6.7181740913861034</v>
      </c>
      <c r="J387">
        <f t="shared" si="25"/>
        <v>397</v>
      </c>
    </row>
    <row r="388" spans="2:10" x14ac:dyDescent="0.35">
      <c r="B388">
        <v>399</v>
      </c>
      <c r="C388">
        <v>494.06043597973485</v>
      </c>
      <c r="D388">
        <v>3.9014851999999998</v>
      </c>
      <c r="E388">
        <v>587.69608077973487</v>
      </c>
      <c r="F388">
        <v>488.10287881504212</v>
      </c>
      <c r="G388" s="1">
        <f t="shared" si="26"/>
        <v>99.593201964692753</v>
      </c>
      <c r="H388" s="1">
        <f t="shared" si="24"/>
        <v>93.635644799999994</v>
      </c>
      <c r="I388" s="2">
        <f t="shared" si="27"/>
        <v>5.9575571646927585</v>
      </c>
      <c r="J388">
        <f t="shared" si="25"/>
        <v>399</v>
      </c>
    </row>
    <row r="389" spans="2:10" x14ac:dyDescent="0.35">
      <c r="B389">
        <v>402</v>
      </c>
      <c r="C389">
        <v>500.89561440115745</v>
      </c>
      <c r="D389">
        <v>2.8114119</v>
      </c>
      <c r="E389">
        <v>568.36950000115746</v>
      </c>
      <c r="F389">
        <v>490.12641213361474</v>
      </c>
      <c r="G389" s="1">
        <f t="shared" si="26"/>
        <v>78.243087867542727</v>
      </c>
      <c r="H389" s="1">
        <f t="shared" si="24"/>
        <v>67.473885600000003</v>
      </c>
      <c r="I389" s="2">
        <f t="shared" si="27"/>
        <v>10.769202267542724</v>
      </c>
      <c r="J389">
        <f t="shared" si="25"/>
        <v>402</v>
      </c>
    </row>
    <row r="390" spans="2:10" x14ac:dyDescent="0.35">
      <c r="B390">
        <v>403</v>
      </c>
      <c r="C390">
        <v>503.14938583033967</v>
      </c>
      <c r="D390">
        <v>1.6920774999999999</v>
      </c>
      <c r="E390">
        <v>543.75924583033964</v>
      </c>
      <c r="F390">
        <v>492.48815739087638</v>
      </c>
      <c r="G390" s="1">
        <f t="shared" si="26"/>
        <v>51.271088439463256</v>
      </c>
      <c r="H390" s="1">
        <f t="shared" si="24"/>
        <v>40.609859999999998</v>
      </c>
      <c r="I390" s="2">
        <f t="shared" si="27"/>
        <v>10.661228439463258</v>
      </c>
      <c r="J390">
        <f t="shared" si="25"/>
        <v>403</v>
      </c>
    </row>
    <row r="391" spans="2:10" x14ac:dyDescent="0.35">
      <c r="B391">
        <v>404</v>
      </c>
      <c r="C391">
        <v>504.97647073130844</v>
      </c>
      <c r="D391">
        <v>1.4241245999999999</v>
      </c>
      <c r="E391">
        <v>539.15546113130847</v>
      </c>
      <c r="F391">
        <v>494.06043597973485</v>
      </c>
      <c r="G391" s="1">
        <f t="shared" si="26"/>
        <v>45.095025151573623</v>
      </c>
      <c r="H391" s="1">
        <f t="shared" si="24"/>
        <v>34.178990399999996</v>
      </c>
      <c r="I391" s="2">
        <f t="shared" si="27"/>
        <v>10.916034751573626</v>
      </c>
      <c r="J391">
        <f t="shared" si="25"/>
        <v>404</v>
      </c>
    </row>
    <row r="392" spans="2:10" x14ac:dyDescent="0.35">
      <c r="B392">
        <v>405</v>
      </c>
      <c r="C392">
        <v>505.30562075060851</v>
      </c>
      <c r="D392">
        <v>1.8167235000000002</v>
      </c>
      <c r="E392">
        <v>548.90698475060856</v>
      </c>
      <c r="F392">
        <v>497.30889984421208</v>
      </c>
      <c r="G392" s="1">
        <f t="shared" si="26"/>
        <v>51.59808490639648</v>
      </c>
      <c r="H392" s="1">
        <f t="shared" si="24"/>
        <v>43.601364000000004</v>
      </c>
      <c r="I392" s="2">
        <f t="shared" si="27"/>
        <v>7.9967209063964759</v>
      </c>
      <c r="J392">
        <f t="shared" si="25"/>
        <v>405</v>
      </c>
    </row>
    <row r="393" spans="2:10" x14ac:dyDescent="0.35">
      <c r="B393">
        <v>406</v>
      </c>
      <c r="C393">
        <v>505.3162062592254</v>
      </c>
      <c r="D393">
        <v>2.0055906999999999</v>
      </c>
      <c r="E393">
        <v>553.45038305922537</v>
      </c>
      <c r="F393">
        <v>499.36498588253767</v>
      </c>
      <c r="G393" s="1">
        <f t="shared" si="26"/>
        <v>54.085397176687707</v>
      </c>
      <c r="H393" s="1">
        <f t="shared" si="24"/>
        <v>48.134176799999999</v>
      </c>
      <c r="I393" s="2">
        <f t="shared" si="27"/>
        <v>5.9512203766877079</v>
      </c>
      <c r="J393">
        <f t="shared" si="25"/>
        <v>406</v>
      </c>
    </row>
    <row r="394" spans="2:10" x14ac:dyDescent="0.35">
      <c r="B394">
        <v>407</v>
      </c>
      <c r="C394">
        <v>508.01211960080406</v>
      </c>
      <c r="D394">
        <v>2.9315693</v>
      </c>
      <c r="E394">
        <v>578.36978280080405</v>
      </c>
      <c r="F394">
        <v>500.89561440115745</v>
      </c>
      <c r="G394" s="1">
        <f t="shared" si="26"/>
        <v>77.474168399646601</v>
      </c>
      <c r="H394" s="1">
        <f t="shared" si="24"/>
        <v>70.357663200000005</v>
      </c>
      <c r="I394" s="2">
        <f t="shared" si="27"/>
        <v>7.1165051996465962</v>
      </c>
      <c r="J394">
        <f t="shared" si="25"/>
        <v>407</v>
      </c>
    </row>
    <row r="395" spans="2:10" x14ac:dyDescent="0.35">
      <c r="B395">
        <v>409</v>
      </c>
      <c r="C395">
        <v>510.28923215499009</v>
      </c>
      <c r="D395">
        <v>1.3035319000000003</v>
      </c>
      <c r="E395">
        <v>541.57399775499005</v>
      </c>
      <c r="F395">
        <v>504.97647073130844</v>
      </c>
      <c r="G395" s="1">
        <f t="shared" si="26"/>
        <v>36.597527023681607</v>
      </c>
      <c r="H395" s="1">
        <f t="shared" si="24"/>
        <v>31.284765600000007</v>
      </c>
      <c r="I395" s="2">
        <f t="shared" si="27"/>
        <v>5.3127614236816001</v>
      </c>
      <c r="J395">
        <f t="shared" si="25"/>
        <v>409</v>
      </c>
    </row>
    <row r="396" spans="2:10" x14ac:dyDescent="0.35">
      <c r="B396">
        <v>410</v>
      </c>
      <c r="C396">
        <v>511.04466840888824</v>
      </c>
      <c r="D396">
        <v>1.7758688999999999</v>
      </c>
      <c r="E396">
        <v>553.66552200888827</v>
      </c>
      <c r="F396">
        <v>505.30562075060851</v>
      </c>
      <c r="G396" s="1">
        <f t="shared" si="26"/>
        <v>48.359901258279763</v>
      </c>
      <c r="H396" s="1">
        <f t="shared" si="24"/>
        <v>42.620853599999997</v>
      </c>
      <c r="I396" s="2">
        <f t="shared" si="27"/>
        <v>5.739047658279766</v>
      </c>
      <c r="J396">
        <f t="shared" si="25"/>
        <v>410</v>
      </c>
    </row>
    <row r="397" spans="2:10" x14ac:dyDescent="0.35">
      <c r="B397">
        <v>415</v>
      </c>
      <c r="C397">
        <v>519.51923453454401</v>
      </c>
      <c r="D397">
        <v>0.88837229999999989</v>
      </c>
      <c r="E397">
        <v>540.84016973454402</v>
      </c>
      <c r="F397">
        <v>511.04466840888824</v>
      </c>
      <c r="G397" s="1">
        <f t="shared" si="26"/>
        <v>29.795501325655778</v>
      </c>
      <c r="H397" s="1">
        <f t="shared" si="24"/>
        <v>21.320935199999997</v>
      </c>
      <c r="I397" s="2">
        <f t="shared" si="27"/>
        <v>8.4745661256557803</v>
      </c>
      <c r="J397">
        <f t="shared" si="25"/>
        <v>415</v>
      </c>
    </row>
    <row r="398" spans="2:10" x14ac:dyDescent="0.35">
      <c r="B398">
        <v>422</v>
      </c>
      <c r="C398">
        <v>526.83767078564551</v>
      </c>
      <c r="D398">
        <v>2.8670168</v>
      </c>
      <c r="E398">
        <v>595.64607398564556</v>
      </c>
      <c r="F398">
        <v>521.15506382322849</v>
      </c>
      <c r="G398" s="1">
        <f t="shared" si="26"/>
        <v>74.491010162417069</v>
      </c>
      <c r="H398" s="1">
        <f t="shared" si="24"/>
        <v>68.808403200000001</v>
      </c>
      <c r="I398" s="2">
        <f t="shared" si="27"/>
        <v>5.6826069624170685</v>
      </c>
      <c r="J398">
        <f t="shared" si="25"/>
        <v>422</v>
      </c>
    </row>
    <row r="399" spans="2:10" x14ac:dyDescent="0.35">
      <c r="B399">
        <v>423</v>
      </c>
      <c r="C399">
        <v>527.49295740073069</v>
      </c>
      <c r="D399">
        <v>1.647383</v>
      </c>
      <c r="E399">
        <v>567.03014940073069</v>
      </c>
      <c r="F399">
        <v>522.38892211110112</v>
      </c>
      <c r="G399" s="1">
        <f t="shared" si="26"/>
        <v>44.641227289629569</v>
      </c>
      <c r="H399" s="1">
        <f t="shared" si="24"/>
        <v>39.537192000000005</v>
      </c>
      <c r="I399" s="2">
        <f t="shared" si="27"/>
        <v>5.1040352896295644</v>
      </c>
      <c r="J399">
        <f t="shared" si="25"/>
        <v>423</v>
      </c>
    </row>
    <row r="400" spans="2:10" x14ac:dyDescent="0.35">
      <c r="B400">
        <v>425</v>
      </c>
      <c r="C400">
        <v>532.35508770483841</v>
      </c>
      <c r="D400">
        <v>1.999393</v>
      </c>
      <c r="E400">
        <v>580.34051970483847</v>
      </c>
      <c r="F400">
        <v>524.11581099146724</v>
      </c>
      <c r="G400" s="1">
        <f t="shared" si="26"/>
        <v>56.224708713371228</v>
      </c>
      <c r="H400" s="1">
        <f t="shared" si="24"/>
        <v>47.985432000000003</v>
      </c>
      <c r="I400" s="2">
        <f t="shared" si="27"/>
        <v>8.2392767133712255</v>
      </c>
      <c r="J400">
        <f t="shared" si="25"/>
        <v>425</v>
      </c>
    </row>
    <row r="401" spans="2:10" x14ac:dyDescent="0.35">
      <c r="B401">
        <v>428</v>
      </c>
      <c r="C401">
        <v>540.84016973454402</v>
      </c>
      <c r="D401">
        <v>2.0052104000000002</v>
      </c>
      <c r="E401">
        <v>588.96521933454403</v>
      </c>
      <c r="F401">
        <v>527.49295740073069</v>
      </c>
      <c r="G401" s="1">
        <f t="shared" si="26"/>
        <v>61.472261933813343</v>
      </c>
      <c r="H401" s="1">
        <f t="shared" si="24"/>
        <v>48.125049600000004</v>
      </c>
      <c r="I401" s="2">
        <f t="shared" si="27"/>
        <v>13.347212333813339</v>
      </c>
      <c r="J401">
        <f t="shared" si="25"/>
        <v>428</v>
      </c>
    </row>
    <row r="402" spans="2:10" x14ac:dyDescent="0.35">
      <c r="B402">
        <v>429</v>
      </c>
      <c r="C402">
        <v>541.24033099475878</v>
      </c>
      <c r="D402">
        <v>1.0207834</v>
      </c>
      <c r="E402">
        <v>565.73913259475876</v>
      </c>
      <c r="F402">
        <v>529.87982537147138</v>
      </c>
      <c r="G402" s="1">
        <f t="shared" si="26"/>
        <v>35.859307223287374</v>
      </c>
      <c r="H402" s="1">
        <f t="shared" si="24"/>
        <v>24.4988016</v>
      </c>
      <c r="I402" s="2">
        <f t="shared" si="27"/>
        <v>11.360505623287374</v>
      </c>
      <c r="J402">
        <f t="shared" si="25"/>
        <v>429</v>
      </c>
    </row>
    <row r="403" spans="2:10" x14ac:dyDescent="0.35">
      <c r="B403">
        <v>455</v>
      </c>
      <c r="C403">
        <v>572.01327468391685</v>
      </c>
      <c r="D403">
        <v>0.99310399999999999</v>
      </c>
      <c r="E403">
        <v>595.84777068391679</v>
      </c>
      <c r="F403">
        <v>565.73913259475876</v>
      </c>
      <c r="G403" s="1">
        <f t="shared" si="26"/>
        <v>30.108638089158035</v>
      </c>
      <c r="H403" s="1">
        <f t="shared" si="24"/>
        <v>23.834496000000001</v>
      </c>
      <c r="I403" s="2">
        <f t="shared" si="27"/>
        <v>6.2741420891580333</v>
      </c>
      <c r="J403">
        <f t="shared" si="25"/>
        <v>455</v>
      </c>
    </row>
    <row r="404" spans="2:10" x14ac:dyDescent="0.35">
      <c r="B404">
        <v>458</v>
      </c>
      <c r="C404">
        <v>573.24056977222676</v>
      </c>
      <c r="D404">
        <v>1.0077727999999997</v>
      </c>
      <c r="E404">
        <v>597.42711697222671</v>
      </c>
      <c r="F404">
        <v>567.03014940073069</v>
      </c>
      <c r="G404" s="1">
        <f t="shared" si="26"/>
        <v>30.39696757149602</v>
      </c>
      <c r="H404" s="1">
        <f t="shared" si="24"/>
        <v>24.186547199999993</v>
      </c>
      <c r="I404" s="2">
        <f t="shared" si="27"/>
        <v>6.2104203714960278</v>
      </c>
      <c r="J404">
        <f t="shared" si="25"/>
        <v>458</v>
      </c>
    </row>
    <row r="406" spans="2:10" x14ac:dyDescent="0.35">
      <c r="I406" s="2">
        <f>SUM(I2:I404)</f>
        <v>2352.2798911416353</v>
      </c>
    </row>
  </sheetData>
  <sortState xmlns:xlrd2="http://schemas.microsoft.com/office/spreadsheetml/2017/richdata2" ref="B2:J406">
    <sortCondition ref="B1:B4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S M Atikur</dc:creator>
  <cp:lastModifiedBy>Rahman, S M Atikur</cp:lastModifiedBy>
  <dcterms:created xsi:type="dcterms:W3CDTF">2015-06-05T18:17:20Z</dcterms:created>
  <dcterms:modified xsi:type="dcterms:W3CDTF">2024-07-18T15:57:58Z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2024-04-02T19:35:50Z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3e735826-e9e0-48b3-82fe-a204b432c24d</vt:lpwstr>
  </property>
  <property fmtid="{D5CDD505-2E9C-101B-9397-08002B2CF9AE}" pid="8" name="MSIP_Label_b73649dc-6fee-4eb8-a128-734c3c842ea8_ContentBits">
    <vt:lpwstr>0</vt:lpwstr>
  </property>
</Properties>
</file>